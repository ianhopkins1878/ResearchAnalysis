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9.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Override PartName="/xl/tables/table3.xml" ContentType="application/vnd.openxmlformats-officedocument.spreadsheetml.table+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61dce33b494f0b" /></Relationships>
</file>

<file path=xl/workbook.xml><?xml version="1.0" encoding="utf-8"?>
<x:workbook xmlns:x="http://schemas.openxmlformats.org/spreadsheetml/2006/main">
  <x:sheets>
    <x:sheet xmlns:r="http://schemas.openxmlformats.org/officeDocument/2006/relationships" name="Summary" sheetId="1" r:id="R13ea05eb7bf74347"/>
    <x:sheet xmlns:r="http://schemas.openxmlformats.org/officeDocument/2006/relationships" name="Matrix 2016-2025" sheetId="2" r:id="R1199346e370e44fb"/>
    <x:sheet xmlns:r="http://schemas.openxmlformats.org/officeDocument/2006/relationships" name="Annual Detail" sheetId="3" r:id="Rd44c044e92b64e6c"/>
    <x:sheet xmlns:r="http://schemas.openxmlformats.org/officeDocument/2006/relationships" name="2026 Update" sheetId="4" r:id="Re0fc0d7009f0412f"/>
    <x:sheet xmlns:r="http://schemas.openxmlformats.org/officeDocument/2006/relationships" name="Legend &amp; Sources" sheetId="5" r:id="R5568eb975ad248bd"/>
    <x:sheet xmlns:r="http://schemas.openxmlformats.org/officeDocument/2006/relationships" name="Adoption Methodology" sheetId="6" r:id="Rf2e562111d134968"/>
    <x:sheet xmlns:r="http://schemas.openxmlformats.org/officeDocument/2006/relationships" name="Measured Adoption Examples" sheetId="7" r:id="Rf55aade5c7d64007"/>
    <x:sheet xmlns:r="http://schemas.openxmlformats.org/officeDocument/2006/relationships" name="Adoption Summary" sheetId="8" r:id="R4183e563fcb44cac"/>
    <x:sheet xmlns:r="http://schemas.openxmlformats.org/officeDocument/2006/relationships" name="Blog Reference Dashboard" sheetId="9" r:id="Rfbcbffffa4174633"/>
    <x:sheet xmlns:r="http://schemas.openxmlformats.org/officeDocument/2006/relationships" name="Blog Claim Register" sheetId="10" r:id="Reeb26ab62b9d46b4"/>
    <x:sheet xmlns:r="http://schemas.openxmlformats.org/officeDocument/2006/relationships" name="Analyst Frameworks" sheetId="11" r:id="Reedf6cbb9a0d4ce6"/>
    <x:sheet xmlns:r="http://schemas.openxmlformats.org/officeDocument/2006/relationships" name="Cross-Analyst Signals" sheetId="12" r:id="R4c11f727099f4b80"/>
    <x:sheet xmlns:r="http://schemas.openxmlformats.org/officeDocument/2006/relationships" name="AI Adoption Evidence" sheetId="13" r:id="R37f486e0533e421a"/>
    <x:sheet xmlns:r="http://schemas.openxmlformats.org/officeDocument/2006/relationships" name="Blog Technology Examples" sheetId="14" r:id="R04219e15f7c143c6"/>
    <x:sheet xmlns:r="http://schemas.openxmlformats.org/officeDocument/2006/relationships" name="Cross-Analyst Sources" sheetId="15" r:id="Rafd4ccfdc7744d3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0"/>
    <x:numFmt numFmtId="202" formatCode="0%"/>
    <x:numFmt numFmtId="203" formatCode="0"/>
  </x:numFmts>
  <x:fonts count="30">
    <x:font>
      <x:sz val="11"/>
      <x:name val="Carlito"/>
    </x:font>
    <x:font>
      <x:b/>
      <x:sz val="16"/>
      <x:color rgb="FFFFFFFF"/>
      <x:name val="Carlito"/>
    </x:font>
    <x:font>
      <x:i/>
      <x:sz val="10"/>
      <x:color rgb="FF5B6573"/>
      <x:name val="Carlito"/>
    </x:font>
    <x:font>
      <x:b/>
      <x:sz val="11"/>
      <x:color rgb="FFFFFFFF"/>
      <x:name val="Carlito"/>
    </x:font>
    <x:font>
      <x:sz val="9"/>
      <x:name val="Carlito"/>
    </x:font>
    <x:font>
      <x:i/>
      <x:sz val="11"/>
      <x:color rgb="FF5B6573"/>
      <x:name val="Carlito"/>
    </x:font>
    <x:font>
      <x:b/>
      <x:sz val="18"/>
      <x:color rgb="FFFFFFFF"/>
      <x:name val="Carlito"/>
    </x:font>
    <x:font>
      <x:b/>
      <x:sz val="16"/>
      <x:color rgb="FF16324F"/>
      <x:name val="Carlito"/>
    </x:font>
    <x:font>
      <x:b/>
      <x:sz val="11"/>
      <x:color rgb="FF215E54"/>
      <x:name val="Carlito"/>
    </x:font>
    <x:font>
      <x:b/>
      <x:sz val="11"/>
      <x:color rgb="FF7F6000"/>
      <x:name val="Carlito"/>
    </x:font>
    <x:font>
      <x:b/>
      <x:sz val="11"/>
      <x:color rgb="FF9C5700"/>
      <x:name val="Carlito"/>
    </x:font>
    <x:font>
      <x:b/>
      <x:sz val="11"/>
      <x:color rgb="FF1F4E78"/>
      <x:name val="Carlito"/>
    </x:font>
    <x:font>
      <x:b/>
      <x:sz val="11"/>
      <x:color rgb="FF375623"/>
      <x:name val="Carlito"/>
    </x:font>
    <x:font>
      <x:b/>
      <x:sz val="13"/>
      <x:color rgb="FFFFFFFF"/>
      <x:name val="Carlito"/>
    </x:font>
    <x:font>
      <x:i/>
      <x:sz val="11"/>
      <x:color rgb="FF7F6000"/>
      <x:name val="Carlito"/>
    </x:font>
    <x:font>
      <x:b/>
      <x:sz val="11"/>
      <x:color rgb="FF16324F"/>
      <x:name val="Carlito"/>
    </x:font>
    <x:font>
      <x:b/>
      <x:sz val="14"/>
      <x:color rgb="FFFFFFFF"/>
      <x:name val="Carlito"/>
    </x:font>
    <x:font>
      <x:i/>
      <x:sz val="9"/>
      <x:color rgb="FF666666"/>
      <x:name val="Carlito"/>
    </x:font>
    <x:font>
      <x:b/>
      <x:sz val="15"/>
      <x:color rgb="FFFFFFFF"/>
      <x:name val="Carlito"/>
    </x:font>
    <x:font>
      <x:b/>
      <x:sz val="14"/>
      <x:name val="Carlito"/>
    </x:font>
    <x:font>
      <x:b/>
      <x:sz val="11"/>
      <x:name val="Carlito"/>
    </x:font>
    <x:font>
      <x:b/>
      <x:sz val="11"/>
      <x:color rgb="FF17202A"/>
      <x:name val="Carlito"/>
    </x:font>
    <x:font>
      <x:b/>
      <x:sz val="11"/>
      <x:color rgb="FF222222"/>
      <x:name val="Calibri"/>
    </x:font>
    <x:font>
      <x:i/>
      <x:sz val="11"/>
      <x:color rgb="FF222222"/>
      <x:name val="Calibri"/>
    </x:font>
    <x:font>
      <x:sz val="11"/>
      <x:color rgb="FF222222"/>
      <x:name val="Calibri"/>
    </x:font>
    <x:font>
      <x:i/>
      <x:sz val="11"/>
      <x:color rgb="FF595959"/>
      <x:name val="Calibri"/>
    </x:font>
    <x:font>
      <x:b/>
      <x:sz val="11"/>
      <x:color rgb="FFFFFFFF"/>
      <x:name val="Calibri"/>
    </x:font>
    <x:font>
      <x:b/>
      <x:sz val="11"/>
      <x:color rgb="FF0563C1"/>
      <x:name val="Calibri"/>
    </x:font>
    <x:font>
      <x:i/>
      <x:sz val="11"/>
      <x:color rgb="FF0563C1"/>
      <x:name val="Calibri"/>
    </x:font>
    <x:font>
      <x:sz val="11"/>
      <x:color rgb="FF0563C1"/>
      <x:name val="Calibri"/>
    </x:font>
  </x:fonts>
  <x:fills count="24">
    <x:fill>
      <x:patternFill patternType="none"/>
    </x:fill>
    <x:fill>
      <x:patternFill patternType="gray125"/>
    </x:fill>
    <x:fill>
      <x:patternFill patternType="solid">
        <x:fgColor rgb="FF16324F"/>
      </x:patternFill>
    </x:fill>
    <x:fill>
      <x:patternFill patternType="solid">
        <x:fgColor rgb="FFF5F6F7"/>
      </x:patternFill>
    </x:fill>
    <x:fill>
      <x:patternFill patternType="solid">
        <x:fgColor rgb="FF2F75B5"/>
      </x:patternFill>
    </x:fill>
    <x:fill>
      <x:patternFill patternType="solid">
        <x:fgColor rgb="FFEAF2F8"/>
      </x:patternFill>
    </x:fill>
    <x:fill>
      <x:patternFill patternType="solid">
        <x:fgColor rgb="FFD9EDE8"/>
      </x:patternFill>
    </x:fill>
    <x:fill>
      <x:patternFill patternType="solid">
        <x:fgColor rgb="FFFFF2CC"/>
      </x:patternFill>
    </x:fill>
    <x:fill>
      <x:patternFill patternType="solid">
        <x:fgColor rgb="FFFCE4D6"/>
      </x:patternFill>
    </x:fill>
    <x:fill>
      <x:patternFill patternType="solid">
        <x:fgColor rgb="FFD9EAF7"/>
      </x:patternFill>
    </x:fill>
    <x:fill>
      <x:patternFill patternType="solid">
        <x:fgColor rgb="FFE2F0D9"/>
      </x:patternFill>
    </x:fill>
    <x:fill>
      <x:patternFill patternType="solid">
        <x:fgColor rgb="FFFFF4E5"/>
      </x:patternFill>
    </x:fill>
    <x:fill>
      <x:patternFill patternType="solid">
        <x:fgColor rgb="FFC65911"/>
      </x:patternFill>
    </x:fill>
    <x:fill>
      <x:patternFill patternType="solid">
        <x:fgColor rgb="FF17365D"/>
      </x:patternFill>
    </x:fill>
    <x:fill>
      <x:patternFill patternType="solid">
        <x:fgColor rgb="FF2F75B5"/>
      </x:patternFill>
    </x:fill>
    <x:fill>
      <x:patternFill patternType="solid">
        <x:fgColor rgb="FF17202A"/>
      </x:patternFill>
    </x:fill>
    <x:fill>
      <x:patternFill patternType="solid">
        <x:fgColor rgb="FF334E68"/>
      </x:patternFill>
    </x:fill>
    <x:fill>
      <x:patternFill patternType="solid">
        <x:fgColor rgb="FFD9E2F3"/>
      </x:patternFill>
    </x:fill>
    <x:fill>
      <x:patternFill patternType="solid">
        <x:fgColor rgb="FFFFFFFF"/>
      </x:patternFill>
    </x:fill>
    <x:fill>
      <x:patternFill patternType="solid">
        <x:fgColor rgb="FFD9E1F2"/>
      </x:patternFill>
    </x:fill>
    <x:fill>
      <x:patternFill patternType="solid">
        <x:fgColor rgb="FFF2F2F2"/>
      </x:patternFill>
    </x:fill>
    <x:fill>
      <x:patternFill patternType="solid">
        <x:fgColor rgb="FF44546A"/>
      </x:patternFill>
    </x:fill>
    <x:fill>
      <x:patternFill patternType="solid">
        <x:fgColor rgb="FFE7E6E6"/>
      </x:patternFill>
    </x:fill>
    <x:fill>
      <x:patternFill patternType="solid">
        <x:fgColor rgb="FFE2F0D9"/>
      </x:patternFill>
    </x:fill>
  </x:fills>
  <x:borders count="42">
    <x:border/>
    <x:border/>
    <x:border/>
    <x:border/>
    <x:border/>
    <x:border/>
    <x:border/>
    <x:border/>
    <x:border/>
    <x:border/>
    <x:border/>
    <x:border/>
    <x:border/>
    <x:border/>
    <x:border/>
    <x:border/>
    <x:border/>
    <x:border/>
    <x:border/>
    <x:border/>
    <x:border/>
    <x:border/>
    <x:border/>
    <x:border/>
    <x:border/>
    <x:border/>
    <x:border/>
    <x:border/>
    <x:border/>
    <x:border/>
    <x:border/>
    <x:border/>
    <x:border>
      <x:bottom style="thin">
        <x:color rgb="FFD9D9D9"/>
      </x:bottom>
    </x:border>
    <x:border>
      <x:top style="thin">
        <x:color rgb="FF44546A"/>
      </x:top>
      <x:bottom style="thin">
        <x:color rgb="FF44546A"/>
      </x:bottom>
    </x:border>
    <x:border>
      <x:top style="thin">
        <x:color rgb="FF44546A"/>
      </x:top>
      <x:bottom style="thin">
        <x:color rgb="FFD9D9D9"/>
      </x:bottom>
    </x:border>
    <x:border>
      <x:left style="thin">
        <x:color rgb="FFD9D9D9"/>
      </x:left>
      <x:top style="thin">
        <x:color rgb="FFD9D9D9"/>
      </x:top>
      <x:bottom style="thin">
        <x:color rgb="FF44546A"/>
      </x:bottom>
    </x:border>
    <x:border>
      <x:right style="thin">
        <x:color rgb="FFD9D9D9"/>
      </x:right>
      <x:top style="thin">
        <x:color rgb="FFD9D9D9"/>
      </x:top>
      <x:bottom style="thin">
        <x:color rgb="FF44546A"/>
      </x:bottom>
    </x:border>
    <x:border>
      <x:left style="thin">
        <x:color rgb="FFD9D9D9"/>
      </x:left>
    </x:border>
    <x:border>
      <x:right style="thin">
        <x:color rgb="FFD9D9D9"/>
      </x:right>
    </x:border>
    <x:border>
      <x:left style="thin">
        <x:color rgb="FFD9D9D9"/>
      </x:left>
      <x:bottom style="thin">
        <x:color rgb="FFD9D9D9"/>
      </x:bottom>
    </x:border>
    <x:border>
      <x:right style="thin">
        <x:color rgb="FFD9D9D9"/>
      </x:right>
      <x:bottom style="thin">
        <x:color rgb="FFD9D9D9"/>
      </x:bottom>
    </x:border>
    <x:border>
      <x:bottom style="hair">
        <x:color rgb="FFD9D9D9"/>
      </x:bottom>
    </x:border>
  </x:borders>
  <x:cellStyleXfs count="1">
    <x:xf numFmtId="0" fontId="0" fillId="0" borderId="0"/>
  </x:cellStyleXfs>
  <x:cellXfs count="3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8" xfId="0" applyNumberFormat="1" applyFont="1" applyFill="1" applyBorder="1" applyAlignment="1">
      <x:alignment horizontal="center" vertical="top" wrapText="1"/>
    </x:xf>
    <x:xf numFmtId="0" fontId="4" fillId="0" borderId="9" xfId="0" applyNumberFormat="1" applyFont="1" applyFill="1" applyBorder="1" applyAlignment="1">
      <x:alignment vertical="top" wrapText="1"/>
    </x:xf>
    <x:xf numFmtId="0" fontId="3" fillId="4" borderId="10" xfId="0" applyNumberFormat="1" applyFont="1" applyFill="1" applyBorder="1" applyAlignment="1">
      <x:alignment horizontal="center" vertical="center"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6" xfId="0" applyNumberFormat="1" applyFont="1" applyFill="1" applyBorder="1" applyAlignment="1">
      <x:alignment horizontal="center" vertical="top" wrapText="1"/>
    </x:xf>
    <x:xf numFmtId="0" fontId="4" fillId="0" borderId="17"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4" fillId="0" borderId="18" xfId="0" applyNumberFormat="1" applyFont="1" applyFill="1" applyBorder="1" applyAlignment="1">
      <x:alignment horizontal="center"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horizontal="center" vertical="top" wrapText="1"/>
    </x:xf>
    <x:xf numFmtId="0" fontId="4" fillId="0" borderId="19"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6" fillId="2" borderId="1" xfId="0" applyNumberFormat="1" applyFont="1" applyFill="1" applyBorder="1"/>
    <x:xf numFmtId="0" fontId="6" fillId="2" borderId="1" xfId="0" applyNumberFormat="1" applyFont="1" applyFill="1" applyBorder="1" applyAlignment="1">
      <x:alignment vertical="center"/>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horizontal="center"/>
    </x:xf>
    <x:xf numFmtId="0" fontId="3" fillId="4" borderId="20" xfId="0" applyNumberFormat="1" applyFont="1" applyFill="1" applyBorder="1" applyAlignment="1">
      <x:alignment horizontal="center"/>
    </x:xf>
    <x:xf numFmtId="0" fontId="3" fillId="4" borderId="21" xfId="0" applyNumberFormat="1" applyFont="1" applyFill="1" applyBorder="1" applyAlignment="1">
      <x:alignment horizontal="center"/>
    </x:xf>
    <x:xf numFmtId="0" fontId="3" fillId="4" borderId="22" xfId="0" applyNumberFormat="1" applyFont="1" applyFill="1" applyBorder="1" applyAlignment="1">
      <x:alignment horizontal="center"/>
    </x:xf>
    <x:xf numFmtId="0" fontId="7" fillId="5" borderId="23" xfId="0" applyNumberFormat="1" applyFont="1" applyFill="1" applyBorder="1" applyAlignment="1">
      <x:alignment horizontal="center"/>
    </x:xf>
    <x:xf numFmtId="0" fontId="7" fillId="5" borderId="24" xfId="0" applyNumberFormat="1" applyFont="1" applyFill="1" applyBorder="1" applyAlignment="1">
      <x:alignment horizontal="center"/>
    </x:xf>
    <x:xf numFmtId="0" fontId="7" fillId="5" borderId="25" xfId="0" applyNumberFormat="1" applyFont="1" applyFill="1" applyBorder="1" applyAlignment="1">
      <x:alignment horizontal="center"/>
    </x:xf>
    <x:xf numFmtId="0" fontId="3" fillId="4" borderId="26" xfId="0" applyNumberFormat="1" applyFont="1" applyFill="1" applyBorder="1" applyAlignment="1">
      <x:alignment horizontal="center"/>
    </x:xf>
    <x:xf numFmtId="0" fontId="3" fillId="4" borderId="27" xfId="0" applyNumberFormat="1" applyFont="1" applyFill="1" applyBorder="1" applyAlignment="1">
      <x:alignment horizontal="center"/>
    </x:xf>
    <x:xf numFmtId="0" fontId="3" fillId="4" borderId="28" xfId="0" applyNumberFormat="1" applyFont="1" applyFill="1" applyBorder="1" applyAlignment="1">
      <x:alignment horizontal="center"/>
    </x:xf>
    <x:xf numFmtId="0" fontId="7" fillId="5" borderId="29" xfId="0" applyNumberFormat="1" applyFont="1" applyFill="1" applyBorder="1" applyAlignment="1">
      <x:alignment horizontal="center"/>
    </x:xf>
    <x:xf numFmtId="0" fontId="7" fillId="5" borderId="30" xfId="0" applyNumberFormat="1" applyFont="1" applyFill="1" applyBorder="1" applyAlignment="1">
      <x:alignment horizontal="center"/>
    </x:xf>
    <x:xf numFmtId="0" fontId="7" fillId="5" borderId="3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19"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10" fillId="8" borderId="1"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11"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11" fillId="9" borderId="1"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12"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12" fillId="10" borderId="1" xfId="0" applyNumberFormat="1" applyFont="1" applyFill="1" applyBorder="1" applyAlignment="1">
      <x:alignment vertical="top" wrapText="1"/>
    </x:xf>
    <x:xf numFmtId="0" fontId="13" fillId="2" borderId="0" xfId="0" applyNumberFormat="1" applyFont="1" applyFill="1" applyBorder="1"/>
    <x:xf numFmtId="0" fontId="13" fillId="2" borderId="1" xfId="0" applyNumberFormat="1" applyFont="1" applyFill="1" applyBorder="1"/>
    <x:xf numFmtId="0" fontId="0" fillId="11" borderId="0" xfId="0" applyNumberFormat="1" applyFont="1" applyFill="1" applyBorder="1"/>
    <x:xf numFmtId="0" fontId="14" fillId="11" borderId="0" xfId="0" applyNumberFormat="1" applyFont="1" applyFill="1" applyBorder="1"/>
    <x:xf numFmtId="0" fontId="14" fillId="11" borderId="0" xfId="0" applyNumberFormat="1" applyFont="1" applyFill="1" applyBorder="1" applyAlignment="1">
      <x:alignment wrapText="1"/>
    </x:xf>
    <x:xf numFmtId="0" fontId="14" fillId="11" borderId="0" xfId="0" applyNumberFormat="1" applyFont="1" applyFill="1" applyBorder="1" applyAlignment="1">
      <x:alignment vertical="center" wrapText="1"/>
    </x:xf>
    <x:xf numFmtId="0" fontId="0" fillId="11" borderId="1" xfId="0" applyNumberFormat="1" applyFont="1" applyFill="1" applyBorder="1"/>
    <x:xf numFmtId="0" fontId="14" fillId="11" borderId="1" xfId="0" applyNumberFormat="1" applyFont="1" applyFill="1" applyBorder="1"/>
    <x:xf numFmtId="0" fontId="14" fillId="11" borderId="1" xfId="0" applyNumberFormat="1" applyFont="1" applyFill="1" applyBorder="1" applyAlignment="1">
      <x:alignment wrapText="1"/>
    </x:xf>
    <x:xf numFmtId="0" fontId="14" fillId="11" borderId="1"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15" fillId="0" borderId="0" xfId="0" applyNumberFormat="1" applyFont="1" applyFill="1" applyBorder="1" applyAlignment="1">
      <x:alignment vertical="top" wrapText="1"/>
    </x:xf>
    <x:xf numFmtId="0" fontId="15" fillId="0" borderId="1" xfId="0" applyNumberFormat="1" applyFont="1" applyFill="1" applyBorder="1" applyAlignment="1">
      <x:alignment vertical="top" wrapText="1"/>
    </x:xf>
    <x:xf numFmtId="0" fontId="0" fillId="12" borderId="0" xfId="0" applyNumberFormat="1" applyFont="1" applyFill="1" applyBorder="1"/>
    <x:xf numFmtId="0" fontId="3" fillId="12" borderId="0" xfId="0" applyNumberFormat="1" applyFont="1" applyFill="1" applyBorder="1"/>
    <x:xf numFmtId="0" fontId="0" fillId="12" borderId="1" xfId="0" applyNumberFormat="1" applyFont="1" applyFill="1" applyBorder="1"/>
    <x:xf numFmtId="0" fontId="3" fillId="12" borderId="1"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1" borderId="1" xfId="0" applyNumberFormat="1" applyFont="1" applyFill="1" applyBorder="1" applyAlignment="1">
      <x:alignment wrapText="1"/>
    </x:xf>
    <x:xf numFmtId="0" fontId="0" fillId="11" borderId="1" xfId="0" applyNumberFormat="1" applyFont="1" applyFill="1" applyBorder="1" applyAlignment="1">
      <x:alignment vertical="top"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0" borderId="0" xfId="0" applyNumberFormat="1" applyFont="1" applyFill="1" applyBorder="1"/>
    <x:xf numFmtId="0" fontId="1" fillId="13" borderId="0" xfId="0" applyNumberFormat="1" applyFont="1" applyFill="1" applyBorder="1" applyAlignment="1">
      <x:alignment vertical="center"/>
    </x:xf>
    <x:xf numFmtId="0" fontId="0" fillId="13" borderId="0" xfId="0" applyNumberFormat="1" applyFont="1" applyFill="1" applyBorder="1"/>
    <x:xf numFmtId="0" fontId="16" fillId="13" borderId="0" xfId="0" applyNumberFormat="1" applyFont="1" applyFill="1" applyBorder="1" applyAlignment="1">
      <x:alignment vertical="center"/>
    </x:xf>
    <x:xf numFmtId="0" fontId="16" fillId="13" borderId="0" xfId="0" applyNumberFormat="1" applyFont="1" applyFill="1" applyBorder="1"/>
    <x:xf numFmtId="0" fontId="17" fillId="3" borderId="0" xfId="0" applyNumberFormat="1" applyFont="1" applyFill="1" applyBorder="1" applyAlignment="1">
      <x:alignment wrapText="1"/>
    </x:xf>
    <x:xf numFmtId="0" fontId="17" fillId="0" borderId="0" xfId="0" applyNumberFormat="1" applyFont="1" applyFill="1" applyBorder="1"/>
    <x:xf numFmtId="0" fontId="17" fillId="0"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3" fillId="13" borderId="0" xfId="0" applyNumberFormat="1" applyFont="1" applyFill="1" applyBorder="1"/>
    <x:xf numFmtId="0" fontId="3" fillId="14"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18" fillId="13" borderId="0" xfId="0" applyNumberFormat="1" applyFont="1" applyFill="1" applyBorder="1"/>
    <x:xf numFmtId="0" fontId="19" fillId="0" borderId="0" xfId="0" applyNumberFormat="1" applyFont="1" applyFill="1" applyBorder="1"/>
    <x:xf numFmtId="200" fontId="19" fillId="0" borderId="0" xfId="0" applyNumberFormat="1" applyFont="1" applyFill="1" applyBorder="1"/>
    <x:xf numFmtId="201" fontId="19"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20" fillId="0" borderId="0" xfId="0" applyNumberFormat="1" applyFont="1" applyFill="1" applyBorder="1" applyAlignment="1">
      <x:alignment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vertical="center"/>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vertical="center" wrapText="1"/>
    </x:xf>
    <x:xf numFmtId="202" fontId="0" fillId="0" borderId="0" xfId="0" applyNumberFormat="1" applyFont="1" applyFill="1" applyBorder="1"/>
    <x:xf numFmtId="0" fontId="0" fillId="17" borderId="0" xfId="0" applyNumberFormat="1" applyFont="1" applyFill="1" applyBorder="1"/>
    <x:xf numFmtId="0" fontId="21" fillId="17" borderId="0" xfId="0" applyNumberFormat="1" applyFont="1" applyFill="1" applyBorder="1"/>
    <x:xf numFmtId="0" fontId="21" fillId="17" borderId="0" xfId="0" applyNumberFormat="1" applyFont="1" applyFill="1" applyBorder="1" applyAlignment="1">
      <x:alignment vertical="center"/>
    </x:xf>
    <x:xf numFmtId="203" fontId="0" fillId="0" borderId="0" xfId="0" applyNumberFormat="1" applyFont="1" applyFill="1" applyBorder="1"/>
    <x:xf numFmtId="203"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22" fillId="2" borderId="0" xfId="0" applyNumberFormat="1" applyFont="1" applyFill="1" applyBorder="1" applyAlignment="1">
      <x:alignment vertical="center"/>
    </x:xf>
    <x:xf numFmtId="0" fontId="23" fillId="3" borderId="0" xfId="0" applyNumberFormat="1" applyFont="1" applyFill="1" applyBorder="1" applyAlignment="1">
      <x:alignment wrapText="1"/>
    </x:xf>
    <x:xf numFmtId="0" fontId="24" fillId="0" borderId="0" xfId="0" applyNumberFormat="1" applyFont="1" applyFill="1" applyBorder="1"/>
    <x:xf numFmtId="0" fontId="22" fillId="4" borderId="0" xfId="0" applyNumberFormat="1" applyFont="1" applyFill="1" applyBorder="1" applyAlignment="1">
      <x:alignment horizontal="center"/>
    </x:xf>
    <x:xf numFmtId="0" fontId="22" fillId="5" borderId="0" xfId="0" applyNumberFormat="1" applyFont="1" applyFill="1" applyBorder="1" applyAlignment="1">
      <x:alignment horizontal="center"/>
    </x:xf>
    <x:xf numFmtId="0" fontId="22" fillId="4" borderId="0" xfId="0" applyNumberFormat="1" applyFont="1" applyFill="1" applyBorder="1" applyAlignment="1">
      <x:alignment horizontal="center" wrapText="1"/>
    </x:xf>
    <x:xf numFmtId="0" fontId="24" fillId="0" borderId="0" xfId="0" applyNumberFormat="1" applyFont="1" applyFill="1" applyBorder="1" applyAlignment="1">
      <x:alignment horizontal="center"/>
    </x:xf>
    <x:xf numFmtId="0" fontId="22" fillId="4" borderId="0" xfId="0" applyNumberFormat="1" applyFont="1" applyFill="1" applyBorder="1"/>
    <x:xf numFmtId="0" fontId="22" fillId="6" borderId="0" xfId="0" applyNumberFormat="1" applyFont="1" applyFill="1" applyBorder="1" applyAlignment="1">
      <x:alignment vertical="top" wrapText="1"/>
    </x:xf>
    <x:xf numFmtId="0" fontId="24" fillId="0" borderId="0" xfId="0" applyNumberFormat="1" applyFont="1" applyFill="1" applyBorder="1" applyAlignment="1">
      <x:alignment vertical="top" wrapText="1"/>
    </x:xf>
    <x:xf numFmtId="0" fontId="22" fillId="7" borderId="0" xfId="0" applyNumberFormat="1" applyFont="1" applyFill="1" applyBorder="1" applyAlignment="1">
      <x:alignment vertical="top" wrapText="1"/>
    </x:xf>
    <x:xf numFmtId="0" fontId="22" fillId="8" borderId="0" xfId="0" applyNumberFormat="1" applyFont="1" applyFill="1" applyBorder="1" applyAlignment="1">
      <x:alignment vertical="top" wrapText="1"/>
    </x:xf>
    <x:xf numFmtId="0" fontId="22" fillId="9" borderId="0" xfId="0" applyNumberFormat="1" applyFont="1" applyFill="1" applyBorder="1" applyAlignment="1">
      <x:alignment vertical="top" wrapText="1"/>
    </x:xf>
    <x:xf numFmtId="0" fontId="22" fillId="10" borderId="0" xfId="0" applyNumberFormat="1" applyFont="1" applyFill="1" applyBorder="1" applyAlignment="1">
      <x:alignment vertical="top" wrapText="1"/>
    </x:xf>
    <x:xf numFmtId="0" fontId="22" fillId="2" borderId="0" xfId="0" applyNumberFormat="1" applyFont="1" applyFill="1" applyBorder="1"/>
    <x:xf numFmtId="0" fontId="24" fillId="0" borderId="0" xfId="0" applyNumberFormat="1" applyFont="1" applyFill="1" applyBorder="1" applyAlignment="1">
      <x:alignment horizontal="center" vertical="top" wrapText="1"/>
    </x:xf>
    <x:xf numFmtId="0" fontId="22" fillId="18" borderId="0" xfId="0" applyNumberFormat="1" applyFont="1" applyFill="1" applyBorder="1" applyAlignment="1">
      <x:alignment vertical="center"/>
    </x:xf>
    <x:xf numFmtId="0" fontId="23" fillId="18" borderId="0" xfId="0" applyNumberFormat="1" applyFont="1" applyFill="1" applyBorder="1" applyAlignment="1">
      <x:alignment wrapText="1"/>
    </x:xf>
    <x:xf numFmtId="0" fontId="24" fillId="18" borderId="0" xfId="0" applyNumberFormat="1" applyFont="1" applyFill="1" applyBorder="1"/>
    <x:xf numFmtId="0" fontId="22" fillId="18" borderId="0" xfId="0" applyNumberFormat="1" applyFont="1" applyFill="1" applyBorder="1" applyAlignment="1">
      <x:alignment horizontal="center"/>
    </x:xf>
    <x:xf numFmtId="0" fontId="22" fillId="18" borderId="0" xfId="0" applyNumberFormat="1" applyFont="1" applyFill="1" applyBorder="1" applyAlignment="1">
      <x:alignment horizontal="center" wrapText="1"/>
    </x:xf>
    <x:xf numFmtId="0" fontId="24" fillId="18" borderId="0" xfId="0" applyNumberFormat="1" applyFont="1" applyFill="1" applyBorder="1" applyAlignment="1">
      <x:alignment horizontal="center"/>
    </x:xf>
    <x:xf numFmtId="0" fontId="22" fillId="18" borderId="0" xfId="0" applyNumberFormat="1" applyFont="1" applyFill="1" applyBorder="1"/>
    <x:xf numFmtId="0" fontId="22" fillId="18" borderId="0" xfId="0" applyNumberFormat="1" applyFont="1" applyFill="1" applyBorder="1" applyAlignment="1">
      <x:alignment vertical="top" wrapText="1"/>
    </x:xf>
    <x:xf numFmtId="0" fontId="24" fillId="18" borderId="0" xfId="0" applyNumberFormat="1" applyFont="1" applyFill="1" applyBorder="1" applyAlignment="1">
      <x:alignment vertical="top" wrapText="1"/>
    </x:xf>
    <x:xf numFmtId="0" fontId="24" fillId="18" borderId="0" xfId="0" applyNumberFormat="1" applyFont="1" applyFill="1" applyBorder="1" applyAlignment="1">
      <x:alignment horizontal="center" vertical="top" wrapText="1"/>
    </x:xf>
    <x:xf numFmtId="0" fontId="22" fillId="18" borderId="0" xfId="0" applyNumberFormat="1" applyFont="1" applyFill="1" applyBorder="1" applyAlignment="1">
      <x:alignment vertical="top"/>
    </x:xf>
    <x:xf numFmtId="0" fontId="23" fillId="18" borderId="0" xfId="0" applyNumberFormat="1" applyFont="1" applyFill="1" applyBorder="1" applyAlignment="1">
      <x:alignment vertical="top" wrapText="1"/>
    </x:xf>
    <x:xf numFmtId="0" fontId="24" fillId="18" borderId="0" xfId="0" applyNumberFormat="1" applyFont="1" applyFill="1" applyBorder="1" applyAlignment="1">
      <x:alignment vertical="top"/>
    </x:xf>
    <x:xf numFmtId="0" fontId="22" fillId="18" borderId="0" xfId="0" applyNumberFormat="1" applyFont="1" applyFill="1" applyBorder="1" applyAlignment="1">
      <x:alignment horizontal="center" vertical="top"/>
    </x:xf>
    <x:xf numFmtId="0" fontId="22" fillId="18" borderId="0" xfId="0" applyNumberFormat="1" applyFont="1" applyFill="1" applyBorder="1" applyAlignment="1">
      <x:alignment horizontal="center" vertical="top" wrapText="1"/>
    </x:xf>
    <x:xf numFmtId="0" fontId="24" fillId="18" borderId="0" xfId="0" applyNumberFormat="1" applyFont="1" applyFill="1" applyBorder="1" applyAlignment="1">
      <x:alignment horizontal="center" vertical="top"/>
    </x:xf>
    <x:xf numFmtId="0" fontId="22" fillId="13" borderId="0" xfId="0" applyNumberFormat="1" applyFont="1" applyFill="1" applyBorder="1" applyAlignment="1">
      <x:alignment vertical="center"/>
    </x:xf>
    <x:xf numFmtId="0" fontId="22" fillId="13" borderId="0" xfId="0" applyNumberFormat="1" applyFont="1" applyFill="1" applyBorder="1"/>
    <x:xf numFmtId="0" fontId="23" fillId="0" borderId="0" xfId="0" applyNumberFormat="1" applyFont="1" applyFill="1" applyBorder="1"/>
    <x:xf numFmtId="0" fontId="22" fillId="4" borderId="0" xfId="0" applyNumberFormat="1" applyFont="1" applyFill="1" applyBorder="1" applyAlignment="1">
      <x:alignment horizontal="center" vertical="center" wrapText="1"/>
    </x:xf>
    <x:xf numFmtId="0" fontId="24" fillId="0" borderId="0" xfId="0" applyNumberFormat="1" applyFont="1" applyFill="1" applyBorder="1" applyAlignment="1">
      <x:alignment horizontal="center" wrapText="1"/>
    </x:xf>
    <x:xf numFmtId="0" fontId="24" fillId="0" borderId="0" xfId="0" applyNumberFormat="1" applyFont="1" applyFill="1" applyBorder="1" applyAlignment="1">
      <x:alignment wrapText="1"/>
    </x:xf>
    <x:xf numFmtId="0" fontId="23" fillId="18" borderId="0" xfId="0" applyNumberFormat="1" applyFont="1" applyFill="1" applyBorder="1"/>
    <x:xf numFmtId="0" fontId="22" fillId="18" borderId="0" xfId="0" applyNumberFormat="1" applyFont="1" applyFill="1" applyBorder="1" applyAlignment="1">
      <x:alignment horizontal="center" vertical="center" wrapText="1"/>
    </x:xf>
    <x:xf numFmtId="0" fontId="24" fillId="18" borderId="0" xfId="0" applyNumberFormat="1" applyFont="1" applyFill="1" applyBorder="1" applyAlignment="1">
      <x:alignment horizontal="center" wrapText="1"/>
    </x:xf>
    <x:xf numFmtId="0" fontId="24" fillId="18" borderId="0" xfId="0" applyNumberFormat="1" applyFont="1" applyFill="1" applyBorder="1" applyAlignment="1">
      <x:alignment wrapText="1"/>
    </x:xf>
    <x:xf numFmtId="0" fontId="23" fillId="18" borderId="0" xfId="0" applyNumberFormat="1" applyFont="1" applyFill="1" applyBorder="1" applyAlignment="1">
      <x:alignment vertical="top"/>
    </x:xf>
    <x:xf numFmtId="0" fontId="23" fillId="11" borderId="0" xfId="0" applyNumberFormat="1" applyFont="1" applyFill="1" applyBorder="1" applyAlignment="1">
      <x:alignment vertical="center" wrapText="1"/>
    </x:xf>
    <x:xf numFmtId="0" fontId="23" fillId="18" borderId="0" xfId="0" applyNumberFormat="1" applyFont="1" applyFill="1" applyBorder="1" applyAlignment="1">
      <x:alignment vertical="center" wrapText="1"/>
    </x:xf>
    <x:xf numFmtId="0" fontId="22" fillId="0" borderId="0" xfId="0" applyNumberFormat="1" applyFont="1" applyFill="1" applyBorder="1" applyAlignment="1">
      <x:alignment vertical="top" wrapText="1"/>
    </x:xf>
    <x:xf numFmtId="0" fontId="22" fillId="12" borderId="0" xfId="0" applyNumberFormat="1" applyFont="1" applyFill="1" applyBorder="1"/>
    <x:xf numFmtId="0" fontId="24" fillId="11" borderId="0" xfId="0" applyNumberFormat="1" applyFont="1" applyFill="1" applyBorder="1" applyAlignment="1">
      <x:alignment vertical="top" wrapText="1"/>
    </x:xf>
    <x:xf numFmtId="0" fontId="22" fillId="4" borderId="0" xfId="0" applyNumberFormat="1" applyFont="1" applyFill="1" applyBorder="1" applyAlignment="1">
      <x:alignment wrapText="1"/>
    </x:xf>
    <x:xf numFmtId="0" fontId="24" fillId="3" borderId="0" xfId="0" applyNumberFormat="1" applyFont="1" applyFill="1" applyBorder="1" applyAlignment="1">
      <x:alignment vertical="top" wrapText="1"/>
    </x:xf>
    <x:xf numFmtId="0" fontId="22" fillId="18" borderId="0" xfId="0" applyNumberFormat="1" applyFont="1" applyFill="1" applyBorder="1" applyAlignment="1">
      <x:alignment wrapText="1"/>
    </x:xf>
    <x:xf numFmtId="0" fontId="23" fillId="0" borderId="0" xfId="0" applyNumberFormat="1" applyFont="1" applyFill="1" applyBorder="1" applyAlignment="1">
      <x:alignment wrapText="1"/>
    </x:xf>
    <x:xf numFmtId="0" fontId="22" fillId="0" borderId="0" xfId="0" applyNumberFormat="1" applyFont="1" applyFill="1" applyBorder="1"/>
    <x:xf numFmtId="200" fontId="22" fillId="0" borderId="0" xfId="0" applyNumberFormat="1" applyFont="1" applyFill="1" applyBorder="1"/>
    <x:xf numFmtId="201" fontId="22" fillId="0" borderId="0" xfId="0" applyNumberFormat="1" applyFont="1" applyFill="1" applyBorder="1"/>
    <x:xf numFmtId="200" fontId="24" fillId="0" borderId="0" xfId="0" applyNumberFormat="1" applyFont="1" applyFill="1" applyBorder="1"/>
    <x:xf numFmtId="201" fontId="24" fillId="0" borderId="0" xfId="0" applyNumberFormat="1" applyFont="1" applyFill="1" applyBorder="1"/>
    <x:xf numFmtId="0" fontId="22" fillId="0" borderId="0" xfId="0" applyNumberFormat="1" applyFont="1" applyFill="1" applyBorder="1" applyAlignment="1">
      <x:alignment wrapText="1"/>
    </x:xf>
    <x:xf numFmtId="200" fontId="22" fillId="18" borderId="0" xfId="0" applyNumberFormat="1" applyFont="1" applyFill="1" applyBorder="1"/>
    <x:xf numFmtId="201" fontId="22" fillId="18" borderId="0" xfId="0" applyNumberFormat="1" applyFont="1" applyFill="1" applyBorder="1"/>
    <x:xf numFmtId="200" fontId="24" fillId="18" borderId="0" xfId="0" applyNumberFormat="1" applyFont="1" applyFill="1" applyBorder="1"/>
    <x:xf numFmtId="201" fontId="24" fillId="18" borderId="0" xfId="0" applyNumberFormat="1" applyFont="1" applyFill="1" applyBorder="1"/>
    <x:xf numFmtId="200" fontId="22" fillId="18" borderId="0" xfId="0" applyNumberFormat="1" applyFont="1" applyFill="1" applyBorder="1" applyAlignment="1">
      <x:alignment vertical="top"/>
    </x:xf>
    <x:xf numFmtId="201" fontId="22" fillId="18" borderId="0" xfId="0" applyNumberFormat="1" applyFont="1" applyFill="1" applyBorder="1" applyAlignment="1">
      <x:alignment vertical="top"/>
    </x:xf>
    <x:xf numFmtId="200" fontId="24" fillId="18" borderId="0" xfId="0" applyNumberFormat="1" applyFont="1" applyFill="1" applyBorder="1" applyAlignment="1">
      <x:alignment vertical="top"/>
    </x:xf>
    <x:xf numFmtId="201" fontId="24" fillId="18" borderId="0" xfId="0" applyNumberFormat="1" applyFont="1" applyFill="1" applyBorder="1" applyAlignment="1">
      <x:alignment vertical="top"/>
    </x:xf>
    <x:xf numFmtId="200" fontId="22" fillId="18" borderId="0" xfId="0" applyNumberFormat="1" applyFont="1" applyFill="1" applyBorder="1" applyAlignment="1">
      <x:alignment vertical="top" wrapText="1"/>
    </x:xf>
    <x:xf numFmtId="201" fontId="22" fillId="18" borderId="0" xfId="0" applyNumberFormat="1" applyFont="1" applyFill="1" applyBorder="1" applyAlignment="1">
      <x:alignment vertical="top" wrapText="1"/>
    </x:xf>
    <x:xf numFmtId="200" fontId="24" fillId="18" borderId="0" xfId="0" applyNumberFormat="1" applyFont="1" applyFill="1" applyBorder="1" applyAlignment="1">
      <x:alignment vertical="top" wrapText="1"/>
    </x:xf>
    <x:xf numFmtId="201" fontId="24" fillId="18" borderId="0" xfId="0" applyNumberFormat="1" applyFont="1" applyFill="1" applyBorder="1" applyAlignment="1">
      <x:alignment vertical="top" wrapText="1"/>
    </x:xf>
    <x:xf numFmtId="0" fontId="22" fillId="15" borderId="0" xfId="0" applyNumberFormat="1" applyFont="1" applyFill="1" applyBorder="1" applyAlignment="1">
      <x:alignment vertical="center"/>
    </x:xf>
    <x:xf numFmtId="0" fontId="22" fillId="16" borderId="0" xfId="0" applyNumberFormat="1" applyFont="1" applyFill="1" applyBorder="1" applyAlignment="1">
      <x:alignment vertical="center" wrapText="1"/>
    </x:xf>
    <x:xf numFmtId="202" fontId="24" fillId="0" borderId="0" xfId="0" applyNumberFormat="1" applyFont="1" applyFill="1" applyBorder="1"/>
    <x:xf numFmtId="0" fontId="22" fillId="17" borderId="0" xfId="0" applyNumberFormat="1" applyFont="1" applyFill="1" applyBorder="1" applyAlignment="1">
      <x:alignment vertical="center"/>
    </x:xf>
    <x:xf numFmtId="0" fontId="22" fillId="18" borderId="0" xfId="0" applyNumberFormat="1" applyFont="1" applyFill="1" applyBorder="1" applyAlignment="1">
      <x:alignment vertical="center" wrapText="1"/>
    </x:xf>
    <x:xf numFmtId="202" fontId="24" fillId="18" borderId="0" xfId="0" applyNumberFormat="1" applyFont="1" applyFill="1" applyBorder="1"/>
    <x:xf numFmtId="202" fontId="24" fillId="18" borderId="0" xfId="0" applyNumberFormat="1" applyFont="1" applyFill="1" applyBorder="1" applyAlignment="1">
      <x:alignment vertical="top"/>
    </x:xf>
    <x:xf numFmtId="202" fontId="24" fillId="18" borderId="0" xfId="0" applyNumberFormat="1" applyFont="1" applyFill="1" applyBorder="1" applyAlignment="1">
      <x:alignment vertical="top" wrapText="1"/>
    </x:xf>
    <x:xf numFmtId="203" fontId="24" fillId="0" borderId="0" xfId="0" applyNumberFormat="1" applyFont="1" applyFill="1" applyBorder="1" applyAlignment="1">
      <x:alignment wrapText="1"/>
    </x:xf>
    <x:xf numFmtId="200" fontId="24" fillId="0" borderId="0" xfId="0" applyNumberFormat="1" applyFont="1" applyFill="1" applyBorder="1" applyAlignment="1">
      <x:alignment wrapText="1"/>
    </x:xf>
    <x:xf numFmtId="203" fontId="24" fillId="18" borderId="0" xfId="0" applyNumberFormat="1" applyFont="1" applyFill="1" applyBorder="1" applyAlignment="1">
      <x:alignment wrapText="1"/>
    </x:xf>
    <x:xf numFmtId="200" fontId="24" fillId="18" borderId="0" xfId="0" applyNumberFormat="1" applyFont="1" applyFill="1" applyBorder="1" applyAlignment="1">
      <x:alignment wrapText="1"/>
    </x:xf>
    <x:xf numFmtId="203" fontId="24" fillId="18" borderId="0" xfId="0" applyNumberFormat="1" applyFont="1" applyFill="1" applyBorder="1" applyAlignment="1">
      <x:alignment vertical="top" wrapText="1"/>
    </x:xf>
    <x:xf numFmtId="202" fontId="24" fillId="0" borderId="0" xfId="0" applyNumberFormat="1" applyFont="1" applyFill="1" applyBorder="1" applyAlignment="1">
      <x:alignment wrapText="1"/>
    </x:xf>
    <x:xf numFmtId="202" fontId="24" fillId="18" borderId="0" xfId="0" applyNumberFormat="1" applyFont="1" applyFill="1" applyBorder="1" applyAlignment="1">
      <x:alignment wrapText="1"/>
    </x:xf>
    <x:xf numFmtId="0" fontId="22" fillId="19" borderId="0" xfId="0" applyNumberFormat="1" applyFont="1" applyFill="1" applyBorder="1" applyAlignment="1">
      <x:alignment vertical="top" wrapText="1"/>
    </x:xf>
    <x:xf numFmtId="0" fontId="22" fillId="19" borderId="32" xfId="0" applyNumberFormat="1" applyFont="1" applyFill="1" applyBorder="1" applyAlignment="1">
      <x:alignment vertical="top" wrapText="1"/>
    </x:xf>
    <x:xf numFmtId="0" fontId="22" fillId="19" borderId="32" xfId="0" applyNumberFormat="1" applyFont="1" applyFill="1" applyBorder="1" applyAlignment="1">
      <x:alignment vertical="center" wrapText="1"/>
    </x:xf>
    <x:xf numFmtId="0" fontId="23" fillId="20" borderId="0" xfId="0" applyNumberFormat="1" applyFont="1" applyFill="1" applyBorder="1" applyAlignment="1">
      <x:alignment vertical="top" wrapText="1"/>
    </x:xf>
    <x:xf numFmtId="0" fontId="25" fillId="20" borderId="0" xfId="0" applyNumberFormat="1" applyFont="1" applyFill="1" applyBorder="1" applyAlignment="1">
      <x:alignment vertical="top" wrapText="1"/>
    </x:xf>
    <x:xf numFmtId="0" fontId="25" fillId="20" borderId="32" xfId="0" applyNumberFormat="1" applyFont="1" applyFill="1" applyBorder="1" applyAlignment="1">
      <x:alignment vertical="top" wrapText="1"/>
    </x:xf>
    <x:xf numFmtId="0" fontId="24" fillId="20" borderId="0" xfId="0" applyNumberFormat="1" applyFont="1" applyFill="1" applyBorder="1" applyAlignment="1">
      <x:alignment vertical="top" wrapText="1"/>
    </x:xf>
    <x:xf numFmtId="0" fontId="24" fillId="19" borderId="0" xfId="0" applyNumberFormat="1" applyFont="1" applyFill="1" applyBorder="1" applyAlignment="1">
      <x:alignment vertical="top" wrapText="1"/>
    </x:xf>
    <x:xf numFmtId="0" fontId="22" fillId="21" borderId="0" xfId="0" applyNumberFormat="1" applyFont="1" applyFill="1" applyBorder="1" applyAlignment="1">
      <x:alignment horizontal="center" vertical="top" wrapText="1"/>
    </x:xf>
    <x:xf numFmtId="0" fontId="24" fillId="21" borderId="0" xfId="0" applyNumberFormat="1" applyFont="1" applyFill="1" applyBorder="1" applyAlignment="1">
      <x:alignment vertical="top" wrapText="1"/>
    </x:xf>
    <x:xf numFmtId="0" fontId="26" fillId="21" borderId="0" xfId="0" applyNumberFormat="1" applyFont="1" applyFill="1" applyBorder="1" applyAlignment="1">
      <x:alignment horizontal="center" vertical="top" wrapText="1"/>
    </x:xf>
    <x:xf numFmtId="0" fontId="26" fillId="21" borderId="0" xfId="0" applyNumberFormat="1" applyFont="1" applyFill="1" applyBorder="1" applyAlignment="1">
      <x:alignment vertical="top" wrapText="1"/>
    </x:xf>
    <x:xf numFmtId="0" fontId="26" fillId="21" borderId="33" xfId="0" applyNumberFormat="1" applyFont="1" applyFill="1" applyBorder="1" applyAlignment="1">
      <x:alignment horizontal="center" vertical="top" wrapText="1"/>
    </x:xf>
    <x:xf numFmtId="0" fontId="26" fillId="21" borderId="33" xfId="0" applyNumberFormat="1" applyFont="1" applyFill="1" applyBorder="1" applyAlignment="1">
      <x:alignment vertical="top" wrapText="1"/>
    </x:xf>
    <x:xf numFmtId="0" fontId="26" fillId="21" borderId="33" xfId="0" applyNumberFormat="1" applyFont="1" applyFill="1" applyBorder="1" applyAlignment="1">
      <x:alignment horizontal="center" vertical="center" wrapText="1"/>
    </x:xf>
    <x:xf numFmtId="0" fontId="26" fillId="21" borderId="33" xfId="0" applyNumberFormat="1" applyFont="1" applyFill="1" applyBorder="1" applyAlignment="1">
      <x:alignment vertical="center" wrapText="1"/>
    </x:xf>
    <x:xf numFmtId="0" fontId="22" fillId="21" borderId="0" xfId="0" applyNumberFormat="1" applyFont="1" applyFill="1" applyBorder="1" applyAlignment="1">
      <x:alignment vertical="top" wrapText="1"/>
    </x:xf>
    <x:xf numFmtId="0" fontId="22" fillId="22" borderId="0" xfId="0" applyNumberFormat="1" applyFont="1" applyFill="1" applyBorder="1" applyAlignment="1">
      <x:alignment vertical="top" wrapText="1"/>
    </x:xf>
    <x:xf numFmtId="0" fontId="22" fillId="22" borderId="32" xfId="0" applyNumberFormat="1" applyFont="1" applyFill="1" applyBorder="1" applyAlignment="1">
      <x:alignment vertical="top" wrapText="1"/>
    </x:xf>
    <x:xf numFmtId="0" fontId="22" fillId="22" borderId="0" xfId="0" applyNumberFormat="1" applyFont="1" applyFill="1" applyBorder="1" applyAlignment="1">
      <x:alignment horizontal="center" vertical="top" wrapText="1"/>
    </x:xf>
    <x:xf numFmtId="0" fontId="22" fillId="22" borderId="32" xfId="0" applyNumberFormat="1" applyFont="1" applyFill="1" applyBorder="1" applyAlignment="1">
      <x:alignment horizontal="center" vertical="top" wrapText="1"/>
    </x:xf>
    <x:xf numFmtId="0" fontId="22" fillId="22" borderId="32" xfId="0" applyNumberFormat="1" applyFont="1" applyFill="1" applyBorder="1" applyAlignment="1">
      <x:alignment horizontal="center" vertical="center" wrapText="1"/>
    </x:xf>
    <x:xf numFmtId="0" fontId="26" fillId="22" borderId="33" xfId="0" applyNumberFormat="1" applyFont="1" applyFill="1" applyBorder="1" applyAlignment="1">
      <x:alignment horizontal="center" vertical="center" wrapText="1"/>
    </x:xf>
    <x:xf numFmtId="0" fontId="22" fillId="22" borderId="33" xfId="0" applyNumberFormat="1" applyFont="1" applyFill="1" applyBorder="1" applyAlignment="1">
      <x:alignment horizontal="center" vertical="center" wrapText="1"/>
    </x:xf>
    <x:xf numFmtId="0" fontId="22" fillId="22" borderId="34" xfId="0" applyNumberFormat="1" applyFont="1" applyFill="1" applyBorder="1" applyAlignment="1">
      <x:alignment horizontal="center" vertical="center" wrapText="1"/>
    </x:xf>
    <x:xf numFmtId="200" fontId="22" fillId="18" borderId="0" xfId="0" applyNumberFormat="1" applyFont="1" applyFill="1" applyBorder="1" applyAlignment="1">
      <x:alignment horizontal="center" vertical="top" wrapText="1"/>
    </x:xf>
    <x:xf numFmtId="201" fontId="22" fillId="18" borderId="0" xfId="0" applyNumberFormat="1" applyFont="1" applyFill="1" applyBorder="1" applyAlignment="1">
      <x:alignment horizontal="center" vertical="top" wrapText="1"/>
    </x:xf>
    <x:xf numFmtId="0" fontId="26" fillId="21" borderId="35" xfId="0" applyNumberFormat="1" applyFont="1" applyFill="1" applyBorder="1" applyAlignment="1">
      <x:alignment vertical="center" wrapText="1"/>
    </x:xf>
    <x:xf numFmtId="0" fontId="26" fillId="21" borderId="36" xfId="0" applyNumberFormat="1" applyFont="1" applyFill="1" applyBorder="1" applyAlignment="1">
      <x:alignment vertical="center" wrapText="1"/>
    </x:xf>
    <x:xf numFmtId="0" fontId="24" fillId="18" borderId="37" xfId="0" applyNumberFormat="1" applyFont="1" applyFill="1" applyBorder="1" applyAlignment="1">
      <x:alignment vertical="top" wrapText="1"/>
    </x:xf>
    <x:xf numFmtId="0" fontId="24" fillId="18" borderId="38" xfId="0" applyNumberFormat="1" applyFont="1" applyFill="1" applyBorder="1" applyAlignment="1">
      <x:alignment vertical="top" wrapText="1"/>
    </x:xf>
    <x:xf numFmtId="200" fontId="24" fillId="18" borderId="38" xfId="0" applyNumberFormat="1" applyFont="1" applyFill="1" applyBorder="1" applyAlignment="1">
      <x:alignment vertical="top" wrapText="1"/>
    </x:xf>
    <x:xf numFmtId="0" fontId="24" fillId="18" borderId="39" xfId="0" applyNumberFormat="1" applyFont="1" applyFill="1" applyBorder="1" applyAlignment="1">
      <x:alignment vertical="top" wrapText="1"/>
    </x:xf>
    <x:xf numFmtId="200" fontId="24" fillId="18" borderId="40" xfId="0" applyNumberFormat="1" applyFont="1" applyFill="1" applyBorder="1" applyAlignment="1">
      <x:alignment vertical="top" wrapText="1"/>
    </x:xf>
    <x:xf numFmtId="202" fontId="24" fillId="18" borderId="38" xfId="0" applyNumberFormat="1" applyFont="1" applyFill="1" applyBorder="1" applyAlignment="1">
      <x:alignment vertical="top" wrapText="1"/>
    </x:xf>
    <x:xf numFmtId="202" fontId="24" fillId="18" borderId="40" xfId="0" applyNumberFormat="1" applyFont="1" applyFill="1" applyBorder="1" applyAlignment="1">
      <x:alignment vertical="top" wrapText="1"/>
    </x:xf>
    <x:xf numFmtId="0" fontId="24" fillId="20" borderId="37" xfId="0" applyNumberFormat="1" applyFont="1" applyFill="1" applyBorder="1" applyAlignment="1">
      <x:alignment vertical="top" wrapText="1"/>
    </x:xf>
    <x:xf numFmtId="0" fontId="24" fillId="20" borderId="39" xfId="0" applyNumberFormat="1" applyFont="1" applyFill="1" applyBorder="1" applyAlignment="1">
      <x:alignment vertical="top" wrapText="1"/>
    </x:xf>
    <x:xf numFmtId="0" fontId="22" fillId="18" borderId="38" xfId="0" applyNumberFormat="1" applyFont="1" applyFill="1" applyBorder="1" applyAlignment="1">
      <x:alignment vertical="top" wrapText="1"/>
    </x:xf>
    <x:xf numFmtId="200" fontId="22" fillId="18" borderId="38" xfId="0" applyNumberFormat="1" applyFont="1" applyFill="1" applyBorder="1" applyAlignment="1">
      <x:alignment vertical="top" wrapText="1"/>
    </x:xf>
    <x:xf numFmtId="200" fontId="22" fillId="18" borderId="40" xfId="0" applyNumberFormat="1" applyFont="1" applyFill="1" applyBorder="1" applyAlignment="1">
      <x:alignment vertical="top" wrapText="1"/>
    </x:xf>
    <x:xf numFmtId="202" fontId="22" fillId="18" borderId="38" xfId="0" applyNumberFormat="1" applyFont="1" applyFill="1" applyBorder="1" applyAlignment="1">
      <x:alignment vertical="top" wrapText="1"/>
    </x:xf>
    <x:xf numFmtId="202" fontId="22" fillId="18" borderId="40" xfId="0" applyNumberFormat="1" applyFont="1" applyFill="1" applyBorder="1" applyAlignment="1">
      <x:alignment vertical="top" wrapText="1"/>
    </x:xf>
    <x:xf numFmtId="0" fontId="24" fillId="18" xfId="0" applyNumberFormat="1" applyFont="1" applyFill="1" applyBorder="0" applyAlignment="1">
      <x:alignment vertical="top" wrapText="1"/>
    </x:xf>
    <x:xf numFmtId="0" fontId="24" fillId="18" xfId="0" applyNumberFormat="1" applyFont="1" applyFill="1" applyBorder="0" applyAlignment="1">
      <x:alignment horizontal="center" vertical="top" wrapText="1"/>
    </x:xf>
    <x:xf numFmtId="0" fontId="24" fillId="18" borderId="41" xfId="0" applyNumberFormat="1" applyFont="1" applyFill="1" applyBorder="1" applyAlignment="1">
      <x:alignment vertical="top" wrapText="1"/>
    </x:xf>
    <x:xf numFmtId="0" fontId="24" fillId="18" borderId="41" xfId="0" applyNumberFormat="1" applyFont="1" applyFill="1" applyBorder="1" applyAlignment="1">
      <x:alignment horizontal="center" vertical="top" wrapText="1"/>
    </x:xf>
    <x:xf numFmtId="0" fontId="22" fillId="18" xfId="0" applyNumberFormat="1" applyFont="1" applyFill="1" applyBorder="0" applyAlignment="1">
      <x:alignment vertical="top" wrapText="1"/>
    </x:xf>
    <x:xf numFmtId="203" fontId="24" fillId="18" xfId="0" applyNumberFormat="1" applyFont="1" applyFill="1" applyBorder="0" applyAlignment="1">
      <x:alignment vertical="top" wrapText="1"/>
    </x:xf>
    <x:xf numFmtId="200" fontId="24" fillId="18" xfId="0" applyNumberFormat="1" applyFont="1" applyFill="1" applyBorder="0" applyAlignment="1">
      <x:alignment vertical="top" wrapText="1"/>
    </x:xf>
    <x:xf numFmtId="203" fontId="24" fillId="18" borderId="41" xfId="0" applyNumberFormat="1" applyFont="1" applyFill="1" applyBorder="1" applyAlignment="1">
      <x:alignment vertical="top" wrapText="1"/>
    </x:xf>
    <x:xf numFmtId="202" fontId="24" fillId="18" xfId="0" applyNumberFormat="1" applyFont="1" applyFill="1" applyBorder="0" applyAlignment="1">
      <x:alignment vertical="top" wrapText="1"/>
    </x:xf>
    <x:xf numFmtId="202" fontId="24" fillId="18" borderId="41" xfId="0" applyNumberFormat="1" applyFont="1" applyFill="1" applyBorder="1" applyAlignment="1">
      <x:alignment vertical="top" wrapText="1"/>
    </x:xf>
    <x:xf numFmtId="0" fontId="27" fillId="19" borderId="32" xfId="0" applyNumberFormat="1" applyFont="1" applyFill="1" applyBorder="1" applyAlignment="1">
      <x:alignment vertical="center" wrapText="1"/>
    </x:xf>
    <x:xf numFmtId="0" fontId="28" fillId="20" borderId="32" xfId="0" applyNumberFormat="1" applyFont="1" applyFill="1" applyBorder="1" applyAlignment="1">
      <x:alignment vertical="top" wrapText="1"/>
    </x:xf>
    <x:xf numFmtId="0" fontId="29" fillId="18" borderId="0" xfId="0" applyNumberFormat="1" applyFont="1" applyFill="1" applyBorder="1" applyAlignment="1">
      <x:alignment vertical="top" wrapText="1"/>
    </x:xf>
    <x:xf numFmtId="0" fontId="27" fillId="21" borderId="33" xfId="0" applyNumberFormat="1" applyFont="1" applyFill="1" applyBorder="1" applyAlignment="1">
      <x:alignment vertical="center" wrapText="1"/>
    </x:xf>
    <x:xf numFmtId="0" fontId="29" fillId="18" xfId="0" applyNumberFormat="1" applyFont="1" applyFill="1" applyBorder="0" applyAlignment="1">
      <x:alignment vertical="top" wrapText="1"/>
    </x:xf>
    <x:xf numFmtId="0" fontId="29" fillId="18" borderId="41" xfId="0" applyNumberFormat="1" applyFont="1" applyFill="1" applyBorder="1" applyAlignment="1">
      <x:alignment vertical="top" wrapText="1"/>
    </x:xf>
    <x:xf numFmtId="0" fontId="27" fillId="21" borderId="33" xfId="0" applyNumberFormat="1" applyFont="1" applyFill="1" applyBorder="1" applyAlignment="1">
      <x:alignment horizontal="center" vertical="center" wrapText="1"/>
    </x:xf>
    <x:xf numFmtId="0" fontId="28" fillId="18" borderId="0" xfId="0" applyNumberFormat="1" applyFont="1" applyFill="1" applyBorder="1" applyAlignment="1">
      <x:alignment vertical="top" wrapText="1"/>
    </x:xf>
    <x:xf numFmtId="0" fontId="27" fillId="18" xfId="0" applyNumberFormat="1" applyFont="1" applyFill="1" applyBorder="0" applyAlignment="1">
      <x:alignment vertical="top" wrapText="1"/>
    </x:xf>
    <x:xf numFmtId="0" fontId="24" fillId="23" xfId="0" applyNumberFormat="1" applyFont="1" applyFill="1" applyBorder="0" applyAlignment="1">
      <x:alignment vertical="top" wrapText="1"/>
    </x:xf>
    <x:xf numFmtId="0" fontId="24" fillId="23" borderId="41" xfId="0" applyNumberFormat="1" applyFont="1" applyFill="1" applyBorder="1" applyAlignment="1">
      <x:alignment vertical="top" wrapText="1"/>
    </x:xf>
    <x:xf numFmtId="0" fontId="22" fillId="21" borderId="33" xfId="0" applyNumberFormat="1" applyFont="1" applyFill="1" applyBorder="1" applyAlignment="1">
      <x:alignment horizontal="center" vertical="center" wrapText="1"/>
    </x:xf>
    <x:xf numFmtId="0" fontId="22" fillId="21" borderId="33" xfId="0" applyNumberFormat="1" applyFont="1" applyFill="1" applyBorder="1" applyAlignment="1">
      <x:alignment vertical="center" wrapText="1"/>
    </x:xf>
    <x:xf numFmtId="0" fontId="22" fillId="21" borderId="35" xfId="0" applyNumberFormat="1" applyFont="1" applyFill="1" applyBorder="1" applyAlignment="1">
      <x:alignment vertical="center" wrapText="1"/>
    </x:xf>
    <x:xf numFmtId="0" fontId="22" fillId="21" borderId="36" xfId="0" applyNumberFormat="1" applyFont="1" applyFill="1" applyBorder="1" applyAlignment="1">
      <x:alignment vertical="center" wrapText="1"/>
    </x:xf>
  </x:cellXfs>
  <x:cellStyles count="1">
    <x:cellStyle name="Normal" xfId="0"/>
  </x:cellStyles>
  <x:dxfs count="67">
    <x:dxf>
      <x:font>
        <x:b/>
        <x:color rgb="FF215E54"/>
      </x:font>
      <x:fill>
        <x:patternFill>
          <x:bgColor rgb="FFD9EDE8"/>
        </x:patternFill>
      </x:fill>
    </x:dxf>
    <x:dxf>
      <x:font>
        <x:b/>
        <x:color rgb="FF7F6000"/>
      </x:font>
      <x:fill>
        <x:patternFill>
          <x:bgColor rgb="FFFFF2CC"/>
        </x:patternFill>
      </x:fill>
    </x:dxf>
    <x:dxf>
      <x:font>
        <x:b/>
        <x:color rgb="FF9C5700"/>
      </x:font>
      <x:fill>
        <x:patternFill>
          <x:bgColor rgb="FFFCE4D6"/>
        </x:patternFill>
      </x:fill>
    </x:dxf>
    <x:dxf>
      <x:font>
        <x:b/>
        <x:color rgb="FF1F4E78"/>
      </x:font>
      <x:fill>
        <x:patternFill>
          <x:bgColor rgb="FFD9EAF7"/>
        </x:patternFill>
      </x:fill>
    </x:dxf>
    <x:dxf>
      <x:font>
        <x:b/>
        <x:color rgb="FF375623"/>
      </x:font>
      <x:fill>
        <x:patternFill>
          <x:bgColor rgb="FFE2F0D9"/>
        </x:patternFill>
      </x:fill>
    </x:dxf>
    <x:dxf>
      <x:font>
        <x:b/>
        <x:color rgb="FF215E54"/>
      </x:font>
      <x:fill>
        <x:patternFill>
          <x:bgColor rgb="FFD9EDE8"/>
        </x:patternFill>
      </x:fill>
    </x:dxf>
    <x:dxf>
      <x:font>
        <x:b/>
        <x:color rgb="FF7F6000"/>
      </x:font>
      <x:fill>
        <x:patternFill>
          <x:bgColor rgb="FFFFF2CC"/>
        </x:patternFill>
      </x:fill>
    </x:dxf>
    <x:dxf>
      <x:font>
        <x:b/>
        <x:color rgb="FF9C5700"/>
      </x:font>
      <x:fill>
        <x:patternFill>
          <x:bgColor rgb="FFFCE4D6"/>
        </x:patternFill>
      </x:fill>
    </x:dxf>
    <x:dxf>
      <x:font>
        <x:b/>
        <x:color rgb="FF1F4E78"/>
      </x:font>
      <x:fill>
        <x:patternFill>
          <x:bgColor rgb="FFD9EAF7"/>
        </x:patternFill>
      </x:fill>
    </x:dxf>
    <x:dxf>
      <x:font>
        <x:b/>
        <x:color rgb="FF375623"/>
      </x:font>
      <x:fill>
        <x:patternFill>
          <x:bgColor rgb="FFE2F0D9"/>
        </x:patternFill>
      </x:fill>
    </x:dxf>
    <x:dxf>
      <x:font>
        <x:b/>
        <x:color rgb="FF215E54"/>
      </x:font>
      <x:fill>
        <x:patternFill>
          <x:bgColor rgb="FFD9EDE8"/>
        </x:patternFill>
      </x:fill>
    </x:dxf>
    <x:dxf>
      <x:font>
        <x:b/>
        <x:color rgb="FF7F6000"/>
      </x:font>
      <x:fill>
        <x:patternFill>
          <x:bgColor rgb="FFFFF2CC"/>
        </x:patternFill>
      </x:fill>
    </x:dxf>
    <x:dxf>
      <x:font>
        <x:b/>
        <x:color rgb="FF9C5700"/>
      </x:font>
      <x:fill>
        <x:patternFill>
          <x:bgColor rgb="FFFCE4D6"/>
        </x:patternFill>
      </x:fill>
    </x:dxf>
    <x:dxf>
      <x:font>
        <x:b/>
        <x:color rgb="FF1F4E78"/>
      </x:font>
      <x:fill>
        <x:patternFill>
          <x:bgColor rgb="FFD9EAF7"/>
        </x:patternFill>
      </x:fill>
    </x:dxf>
    <x:dxf>
      <x:font>
        <x:b/>
        <x:color rgb="FF375623"/>
      </x:font>
      <x:fill>
        <x:patternFill>
          <x:bgColor rgb="FFE2F0D9"/>
        </x:patternFill>
      </x:fill>
    </x:dxf>
    <x:dxf>
      <x:font>
        <x:b/>
        <x:color rgb="FF7F6000"/>
      </x:font>
      <x:fill>
        <x:patternFill>
          <x:bgColor rgb="FFFFF2CC"/>
        </x:patternFill>
      </x:fill>
    </x:dxf>
    <x:dxf>
      <x:fill>
        <x:patternFill>
          <x:bgColor rgb="FFE2F0D9"/>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
      <x:font>
        <x:sz val="11"/>
        <x:color rgb="FF222222"/>
        <x:name val="Calibri"/>
      </x:font>
      <x:fill>
        <x:patternFill patternType="solid">
          <x:bgColor rgb="FFDDEBF7"/>
        </x:patternFill>
      </x:fill>
    </x:dxf>
    <x:dxf>
      <x:font>
        <x:sz val="11"/>
        <x:color rgb="FF222222"/>
        <x:name val="Calibri"/>
      </x:font>
      <x:fill>
        <x:patternFill patternType="solid">
          <x:bgColor rgb="FFFFF2CC"/>
        </x:patternFill>
      </x:fill>
    </x:dxf>
    <x:dxf>
      <x:font>
        <x:sz val="11"/>
        <x:color rgb="FF222222"/>
        <x:name val="Calibri"/>
      </x:font>
      <x:fill>
        <x:patternFill patternType="solid">
          <x:bgColor rgb="FFFCE4D6"/>
        </x:patternFill>
      </x:fill>
    </x:dxf>
    <x:dxf>
      <x:font>
        <x:sz val="11"/>
        <x:color rgb="FF222222"/>
        <x:name val="Calibri"/>
      </x:font>
      <x:fill>
        <x:patternFill patternType="solid">
          <x:bgColor rgb="FFE2F0D9"/>
        </x:patternFill>
      </x:fill>
    </x:dxf>
    <x:dxf>
      <x:font>
        <x:sz val="11"/>
        <x:color rgb="FF222222"/>
        <x:name val="Calibri"/>
      </x:font>
      <x:fill>
        <x:patternFill patternType="solid">
          <x:bgColor rgb="FFE2EF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c8fb42f3844a1c" /><Relationship Type="http://schemas.openxmlformats.org/officeDocument/2006/relationships/theme" Target="/xl/theme/theme1.xml" Id="Rf496d059ec634056" /><Relationship Type="http://schemas.openxmlformats.org/officeDocument/2006/relationships/sharedStrings" Target="/xl/sharedStrings.xml" Id="R0a101e30888a42ca" /><Relationship Type="http://schemas.openxmlformats.org/officeDocument/2006/relationships/worksheet" Target="/xl/worksheets/sheet1.xml" Id="R13ea05eb7bf74347" /><Relationship Type="http://schemas.openxmlformats.org/officeDocument/2006/relationships/worksheet" Target="/xl/worksheets/sheet2.xml" Id="R1199346e370e44fb" /><Relationship Type="http://schemas.openxmlformats.org/officeDocument/2006/relationships/worksheet" Target="/xl/worksheets/sheet3.xml" Id="Rd44c044e92b64e6c" /><Relationship Type="http://schemas.openxmlformats.org/officeDocument/2006/relationships/worksheet" Target="/xl/worksheets/sheet4.xml" Id="Re0fc0d7009f0412f" /><Relationship Type="http://schemas.openxmlformats.org/officeDocument/2006/relationships/worksheet" Target="/xl/worksheets/sheet5.xml" Id="R5568eb975ad248bd" /><Relationship Type="http://schemas.openxmlformats.org/officeDocument/2006/relationships/worksheet" Target="/xl/worksheets/sheet6.xml" Id="Rf2e562111d134968" /><Relationship Type="http://schemas.openxmlformats.org/officeDocument/2006/relationships/worksheet" Target="/xl/worksheets/sheet7.xml" Id="Rf55aade5c7d64007" /><Relationship Type="http://schemas.openxmlformats.org/officeDocument/2006/relationships/worksheet" Target="/xl/worksheets/sheet8.xml" Id="R4183e563fcb44cac" /><Relationship Type="http://schemas.openxmlformats.org/officeDocument/2006/relationships/worksheet" Target="/xl/worksheets/sheet9.xml" Id="Rfbcbffffa4174633" /><Relationship Type="http://schemas.openxmlformats.org/officeDocument/2006/relationships/worksheet" Target="/xl/worksheets/sheet10.xml" Id="Reeb26ab62b9d46b4" /><Relationship Type="http://schemas.openxmlformats.org/officeDocument/2006/relationships/worksheet" Target="/xl/worksheets/sheet11.xml" Id="Reedf6cbb9a0d4ce6" /><Relationship Type="http://schemas.openxmlformats.org/officeDocument/2006/relationships/worksheet" Target="/xl/worksheets/sheet12.xml" Id="R4c11f727099f4b80" /><Relationship Type="http://schemas.openxmlformats.org/officeDocument/2006/relationships/worksheet" Target="/xl/worksheets/sheet13.xml" Id="R37f486e0533e421a" /><Relationship Type="http://schemas.openxmlformats.org/officeDocument/2006/relationships/worksheet" Target="/xl/worksheets/sheet14.xml" Id="R04219e15f7c143c6" /><Relationship Type="http://schemas.openxmlformats.org/officeDocument/2006/relationships/worksheet" Target="/xl/worksheets/sheet15.xml" Id="Rafd4ccfdc7744d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f0d986067fd64ceb" /></Relationships>
</file>

<file path=xl/drawings/_rels/drawing2.xml.rels>&#65279;<?xml version="1.0" encoding="utf-8"?><Relationships xmlns="http://schemas.openxmlformats.org/package/2006/relationships"><Relationship Type="http://schemas.openxmlformats.org/officeDocument/2006/relationships/chart" Target="/xl/drawings/charts/chart2.xml" Id="R0c98e924ef9c4e6f" /><Relationship Type="http://schemas.openxmlformats.org/officeDocument/2006/relationships/chart" Target="/xl/drawings/charts/chart3.xml" Id="R525841c2b6d94f71" /></Relationships>
</file>

<file path=xl/drawings/_rels/drawing3.xml.rels>&#65279;<?xml version="1.0" encoding="utf-8"?><Relationships xmlns="http://schemas.openxmlformats.org/package/2006/relationships"><Relationship Type="http://schemas.openxmlformats.org/officeDocument/2006/relationships/chart" Target="/xl/drawings/charts/chart4.xml" Id="Rcfd8c31c33674293" /><Relationship Type="http://schemas.openxmlformats.org/officeDocument/2006/relationships/chart" Target="/xl/drawings/charts/chart5.xml" Id="R0ad1ef29e280496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Where Gartner placed technologies each year</a:t>
            </a:r>
          </a:p>
        </c:rich>
      </c:tx>
    </c:title>
    <c:plotArea>
      <c:lineChart>
        <c:grouping val="standard"/>
        <c:varyColors val="0"/>
        <c:ser>
          <c:idx val="0"/>
          <c:order val="0"/>
          <c:tx>
            <c:v>Innovation Trigger</c:v>
          </c:tx>
          <c:marker>
            <c:symbol val="none"/>
          </c:marker>
          <c:cat>
            <c:strRef>
              <c:f>'Summary'!$A$9:$A$18</c:f>
              <c:strCache>
                <c:ptCount val="0"/>
              </c:strCache>
            </c:strRef>
          </c:cat>
          <c:val>
            <c:numRef>
              <c:f>'Summary'!$B$9:$B$18</c:f>
              <c:numCache>
                <c:formatCode>General</c:formatCode>
                <c:ptCount val="0"/>
              </c:numCache>
            </c:numRef>
          </c:val>
        </c:ser>
        <c:ser>
          <c:idx val="1"/>
          <c:order val="1"/>
          <c:tx>
            <c:v>Peak</c:v>
          </c:tx>
          <c:marker>
            <c:symbol val="none"/>
          </c:marker>
          <c:cat>
            <c:strRef>
              <c:f>'Summary'!$A$9:$A$18</c:f>
              <c:strCache>
                <c:ptCount val="0"/>
              </c:strCache>
            </c:strRef>
          </c:cat>
          <c:val>
            <c:numRef>
              <c:f>'Summary'!$C$9:$C$18</c:f>
              <c:numCache>
                <c:formatCode>General</c:formatCode>
                <c:ptCount val="0"/>
              </c:numCache>
            </c:numRef>
          </c:val>
        </c:ser>
        <c:ser>
          <c:idx val="2"/>
          <c:order val="2"/>
          <c:tx>
            <c:v>Trough</c:v>
          </c:tx>
          <c:marker>
            <c:symbol val="none"/>
          </c:marker>
          <c:cat>
            <c:strRef>
              <c:f>'Summary'!$A$9:$A$18</c:f>
              <c:strCache>
                <c:ptCount val="0"/>
              </c:strCache>
            </c:strRef>
          </c:cat>
          <c:val>
            <c:numRef>
              <c:f>'Summary'!$D$9:$D$18</c:f>
              <c:numCache>
                <c:formatCode>General</c:formatCode>
                <c:ptCount val="0"/>
              </c:numCache>
            </c:numRef>
          </c:val>
        </c:ser>
        <c:ser>
          <c:idx val="3"/>
          <c:order val="3"/>
          <c:tx>
            <c:v>Slope</c:v>
          </c:tx>
          <c:marker>
            <c:symbol val="none"/>
          </c:marker>
          <c:cat>
            <c:strRef>
              <c:f>'Summary'!$A$9:$A$18</c:f>
              <c:strCache>
                <c:ptCount val="0"/>
              </c:strCache>
            </c:strRef>
          </c:cat>
          <c:val>
            <c:numRef>
              <c:f>'Summary'!$E$9:$E$18</c:f>
              <c:numCache>
                <c:formatCode>General</c:formatCode>
                <c:ptCount val="0"/>
              </c:numCache>
            </c:numRef>
          </c:val>
        </c:ser>
        <c:ser>
          <c:idx val="4"/>
          <c:order val="4"/>
          <c:tx>
            <c:v>Plateau</c:v>
          </c:tx>
          <c:marker>
            <c:symbol val="none"/>
          </c:marker>
          <c:cat>
            <c:strRef>
              <c:f>'Summary'!$A$9:$A$18</c:f>
              <c:strCache>
                <c:ptCount val="0"/>
              </c:strCache>
            </c:strRef>
          </c:cat>
          <c:val>
            <c:numRef>
              <c:f>'Summary'!$F$9:$F$18</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barChart>
        <c:barDir val="col"/>
        <c:varyColors val="0"/>
        <c:ser>
          <c:idx val="0"/>
          <c:order val="0"/>
          <c:tx>
            <c:v>At first appearance</c:v>
          </c:tx>
          <c:cat>
            <c:strRef>
              <c:f>'Adoption Summary'!$B$9:$B$14</c:f>
              <c:strCache>
                <c:ptCount val="0"/>
              </c:strCache>
            </c:strRef>
          </c:cat>
          <c:val>
            <c:numRef>
              <c:f>'Adoption Summary'!$C$9:$C$14</c:f>
              <c:numCache>
                <c:formatCode>General</c:formatCode>
                <c:ptCount val="0"/>
              </c:numCache>
            </c:numRef>
          </c:val>
        </c:ser>
        <c:ser>
          <c:idx val="1"/>
          <c:order val="1"/>
          <c:tx>
            <c:v>By 2026</c:v>
          </c:tx>
          <c:cat>
            <c:strRef>
              <c:f>'Adoption Summary'!$B$9:$B$14</c:f>
              <c:strCache>
                <c:ptCount val="0"/>
              </c:strCache>
            </c:strRef>
          </c:cat>
          <c:val>
            <c:numRef>
              <c:f>'Adoption Summary'!$D$9:$D$14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barChart>
        <c:barDir val="col"/>
        <c:varyColors val="0"/>
        <c:ser>
          <c:idx val="0"/>
          <c:order val="0"/>
          <c:tx>
            <c:v>Count</c:v>
          </c:tx>
          <c:cat>
            <c:strRef>
              <c:f>'Adoption Summary'!$F$9:$F$16</c:f>
              <c:strCache>
                <c:ptCount val="0"/>
              </c:strCache>
            </c:strRef>
          </c:cat>
          <c:val>
            <c:numRef>
              <c:f>'Adoption Summary'!$G$9:$G$16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Gartner longitudinal evidence</a:t>
            </a:r>
          </a:p>
        </c:rich>
      </c:tx>
    </c:title>
    <c:plotArea>
      <c:barChart>
        <c:barDir val="col"/>
        <c:varyColors val="0"/>
        <c:ser>
          <c:idx val="0"/>
          <c:order val="0"/>
          <c:tx>
            <c:v>Series 1</c:v>
          </c:tx>
          <c:cat>
            <c:strRef>
              <c:f>'Blog Reference Dashboard'!$A$5:$A$8</c:f>
              <c:strCache>
                <c:ptCount val="0"/>
              </c:strCache>
            </c:strRef>
          </c:cat>
          <c:val>
            <c:numRef>
              <c:f>'Blog Reference Dashboard'!$B$5:$B$8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AI use, scale and value</a:t>
            </a:r>
          </a:p>
        </c:rich>
      </c:tx>
    </c:title>
    <c:plotArea>
      <c:barChart>
        <c:barDir val="col"/>
        <c:varyColors val="0"/>
        <c:ser>
          <c:idx val="0"/>
          <c:order val="0"/>
          <c:tx>
            <c:v>Series 1</c:v>
          </c:tx>
          <c:cat>
            <c:strRef>
              <c:f>'Blog Reference Dashboard'!$D$5:$D$9</c:f>
              <c:strCache>
                <c:ptCount val="0"/>
              </c:strCache>
            </c:strRef>
          </c:cat>
          <c:val>
            <c:numRef>
              <c:f>'Blog Reference Dashboard'!$E$5:$E$9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7</xdr:row>
      <xdr:rowOff>0</xdr:rowOff>
    </xdr:from>
    <xdr:to>
      <xdr:col>16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d986067fd64ceb"/>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3</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98e924ef9c4e6f"/>
        </a:graphicData>
      </a:graphic>
    </xdr:graphicFrame>
    <xdr:clientData/>
  </xdr:twoCellAnchor>
  <xdr:twoCellAnchor>
    <xdr:from>
      <xdr:col>9</xdr:col>
      <xdr:colOff>0</xdr:colOff>
      <xdr:row>17</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5841c2b6d94f71"/>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1</xdr:row>
      <xdr:rowOff>0</xdr:rowOff>
    </xdr:from>
    <xdr:to>
      <xdr:col>17</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fd8c31c33674293"/>
        </a:graphicData>
      </a:graphic>
    </xdr:graphicFrame>
    <xdr:clientData/>
  </xdr:twoCellAnchor>
  <xdr:twoCellAnchor>
    <xdr:from>
      <xdr:col>9</xdr:col>
      <xdr:colOff>0</xdr:colOff>
      <xdr:row>16</xdr:row>
      <xdr:rowOff>0</xdr:rowOff>
    </xdr:from>
    <xdr:to>
      <xdr:col>17</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d1ef29e280496b"/>
        </a:graphicData>
      </a:graphic>
    </xdr:graphicFrame>
    <xdr:clientData/>
  </xdr:twoCellAnchor>
</xdr:wsDr>
</file>

<file path=xl/tables/table1.xml><?xml version="1.0" encoding="utf-8"?>
<x:table xmlns:x="http://schemas.openxmlformats.org/spreadsheetml/2006/main" id="1" name="AnnualDetailTable" displayName="AnnualDetailTable" ref="A4:G294" headerRowCount="1" totalsRowCount="0" totalsRowShown="0">
  <x:tableColumns count="7">
    <x:tableColumn id="1" name="Year"/>
    <x:tableColumn id="2" name="Entity / technology"/>
    <x:tableColumn id="3" name="Phase code"/>
    <x:tableColumn id="4" name="Phase"/>
    <x:tableColumn id="5" name="Family"/>
    <x:tableColumn id="6" name="Source URL"/>
    <x:tableColumn id="7" name="Source / transcription note"/>
  </x:tableColumns>
  <x:tableStyleInfo name="TableStyleMedium2" showFirstColumn="0" showLastColumn="0" showRowStripes="1" showColumnStripes="0"/>
</x:table>
</file>

<file path=xl/tables/table2.xml><?xml version="1.0" encoding="utf-8"?>
<x:table xmlns:x="http://schemas.openxmlformats.org/spreadsheetml/2006/main" id="2" name="BlogClaimsTable" displayName="BlogClaimsTable" ref="A3:K18" headerRowCount="1" totalsRowCount="0" totalsRowShown="0">
  <x:tableColumns count="11">
    <x:tableColumn id="1" name="Claim ID"/>
    <x:tableColumn id="2" name="Blog claim / proposition"/>
    <x:tableColumn id="3" name="Metric / evidence"/>
    <x:tableColumn id="4" name="Value"/>
    <x:tableColumn id="5" name="Calculation / internal evidence"/>
    <x:tableColumn id="6" name="Primary evidence sheet"/>
    <x:tableColumn id="7" name="External source"/>
    <x:tableColumn id="8" name="Source date"/>
    <x:tableColumn id="9" name="Source quality"/>
    <x:tableColumn id="10" name="Citation-ready note"/>
    <x:tableColumn id="11" name="Status"/>
  </x:tableColumns>
  <x:tableStyleInfo name="TableStyleMedium2" showFirstColumn="0" showLastColumn="0" showRowStripes="1" showColumnStripes="0"/>
</x:table>
</file>

<file path=xl/tables/table3.xml><?xml version="1.0" encoding="utf-8"?>
<x:table xmlns:x="http://schemas.openxmlformats.org/spreadsheetml/2006/main" id="3" name="AnalystFrameworksTable" displayName="AnalystFrameworksTable" ref="A3:J9" headerRowCount="1" totalsRowCount="0" totalsRowShown="0">
  <x:tableColumns count="10">
    <x:tableColumn id="1" name="Research firm"/>
    <x:tableColumn id="2" name="Framework / publication"/>
    <x:tableColumn id="3" name="Reference year"/>
    <x:tableColumn id="4" name="Primary purpose"/>
    <x:tableColumn id="5" name="What it measures / emphasizes"/>
    <x:tableColumn id="6" name="Time / maturity lens"/>
    <x:tableColumn id="7" name="Adoption/value evidence?"/>
    <x:tableColumn id="8" name="Key limitation for comparison"/>
    <x:tableColumn id="9" name="Source URL"/>
    <x:tableColumn id="10" name="Blog use"/>
  </x:tableColumns>
  <x:tableStyleInfo name="TableStyleMedium2" showFirstColumn="0" showLastColumn="0" showRowStripes="1" showColumnStripes="0"/>
</x:table>
</file>

<file path=xl/tables/table4.xml><?xml version="1.0" encoding="utf-8"?>
<x:table xmlns:x="http://schemas.openxmlformats.org/spreadsheetml/2006/main" id="4" name="CrossAnalystSignalsTable" displayName="CrossAnalystSignalsTable" ref="A3:K7" headerRowCount="1" totalsRowCount="0" totalsRowShown="0">
  <x:tableColumns count="11">
    <x:tableColumn id="1" name="Theme"/>
    <x:tableColumn id="2" name="Gartner"/>
    <x:tableColumn id="3" name="Forrester"/>
    <x:tableColumn id="4" name="McKinsey"/>
    <x:tableColumn id="5" name="IDC"/>
    <x:tableColumn id="6" name="Deloitte"/>
    <x:tableColumn id="7" name="WEF"/>
    <x:tableColumn id="8" name="Analysts with explicit signal"/>
    <x:tableColumn id="9" name="What convergence means"/>
    <x:tableColumn id="10" name="What it does NOT prove"/>
    <x:tableColumn id="11" name="Evidence URLs"/>
  </x:tableColumns>
  <x:tableStyleInfo name="TableStyleMedium2" showFirstColumn="0" showLastColumn="0" showRowStripes="1" showColumnStripes="0"/>
</x:table>
</file>

<file path=xl/tables/table5.xml><?xml version="1.0" encoding="utf-8"?>
<x:table xmlns:x="http://schemas.openxmlformats.org/spreadsheetml/2006/main" id="5" name="AIAdoptionEvidenceTable" displayName="AIAdoptionEvidenceTable" ref="A3:I8" headerRowCount="1" totalsRowCount="0" totalsRowShown="0">
  <x:tableColumns count="9">
    <x:tableColumn id="1" name="Metric"/>
    <x:tableColumn id="2" name="2025 / prior"/>
    <x:tableColumn id="3" name="2026"/>
    <x:tableColumn id="4" name="Change"/>
    <x:tableColumn id="5" name="Population / denominator"/>
    <x:tableColumn id="6" name="Interpretation"/>
    <x:tableColumn id="7" name="Source URL"/>
    <x:tableColumn id="8" name="Source date"/>
    <x:tableColumn id="9" name="Blog relevance"/>
  </x:tableColumns>
  <x:tableStyleInfo name="TableStyleMedium2" showFirstColumn="0" showLastColumn="0" showRowStripes="1" showColumnStripes="0"/>
</x:table>
</file>

<file path=xl/tables/table6.xml><?xml version="1.0" encoding="utf-8"?>
<x:table xmlns:x="http://schemas.openxmlformats.org/spreadsheetml/2006/main" id="6" name="BlogTechnologyExamplesTable" displayName="BlogTechnologyExamplesTable" ref="A3:M10" headerRowCount="1" totalsRowCount="0" totalsRowShown="0">
  <x:tableColumns count="13">
    <x:tableColumn id="1" name="Technology"/>
    <x:tableColumn id="2" name="2016"/>
    <x:tableColumn id="3" name="2017"/>
    <x:tableColumn id="4" name="2018"/>
    <x:tableColumn id="5" name="2019"/>
    <x:tableColumn id="6" name="2020"/>
    <x:tableColumn id="7" name="2021"/>
    <x:tableColumn id="8" name="2022"/>
    <x:tableColumn id="9" name="2023"/>
    <x:tableColumn id="10" name="2024"/>
    <x:tableColumn id="11" name="2025"/>
    <x:tableColumn id="12" name="2026 outcome"/>
    <x:tableColumn id="13" name="Why it matters to the argument"/>
  </x:tableColumns>
  <x:tableStyleInfo name="TableStyleMedium2" showFirstColumn="0" showLastColumn="0" showRowStripes="1" showColumnStripes="0"/>
</x:table>
</file>

<file path=xl/tables/table7.xml><?xml version="1.0" encoding="utf-8"?>
<x:table xmlns:x="http://schemas.openxmlformats.org/spreadsheetml/2006/main" id="7" name="CrossAnalystSourcesTable" displayName="CrossAnalystSourcesTable" ref="A3:H11" headerRowCount="1" totalsRowCount="0" totalsRowShown="0">
  <x:tableColumns count="8">
    <x:tableColumn id="1" name="Source ID"/>
    <x:tableColumn id="2" name="Publisher"/>
    <x:tableColumn id="3" name="Title / publication"/>
    <x:tableColumn id="4" name="Date"/>
    <x:tableColumn id="5" name="Source type"/>
    <x:tableColumn id="6" name="URL"/>
    <x:tableColumn id="7" name="Claims / fields supported"/>
    <x:tableColumn id="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af831fdec144af5" /></Relationships>
</file>

<file path=xl/worksheets/_rels/sheet3.xml.rels>&#65279;<?xml version="1.0" encoding="utf-8"?><Relationships xmlns="http://schemas.openxmlformats.org/package/2006/relationships"><Relationship Type="http://schemas.openxmlformats.org/officeDocument/2006/relationships/table" Target="/xl/tables/table1.xml" Id="R54a8965270b141b7" /></Relationships>
</file>

<file path=xl/worksheets/_rels/sheet8.xml.rels>&#65279;<?xml version="1.0" encoding="utf-8"?><Relationships xmlns="http://schemas.openxmlformats.org/package/2006/relationships"><Relationship Type="http://schemas.openxmlformats.org/officeDocument/2006/relationships/drawing" Target="/xl/drawings/drawing2.xml" Id="Rce0943bfd6ab4907" /></Relationships>
</file>

<file path=xl/worksheets/_rels/sheet9.xml.rels>&#65279;<?xml version="1.0" encoding="utf-8"?><Relationships xmlns="http://schemas.openxmlformats.org/package/2006/relationships"><Relationship Type="http://schemas.openxmlformats.org/officeDocument/2006/relationships/drawing" Target="/xl/drawings/drawing3.xml" Id="Rde9132d3938d4e92" /></Relationships>
</file>

<file path=xl/worksheets/_rels/sheet10.xml.rels>&#65279;<?xml version="1.0" encoding="utf-8"?><Relationships xmlns="http://schemas.openxmlformats.org/package/2006/relationships"><Relationship Type="http://schemas.openxmlformats.org/officeDocument/2006/relationships/table" Target="/xl/tables/table2.xml" Id="Rb857cee97e51412b" /></Relationships>
</file>

<file path=xl/worksheets/_rels/sheet11.xml.rels>&#65279;<?xml version="1.0" encoding="utf-8"?><Relationships xmlns="http://schemas.openxmlformats.org/package/2006/relationships"><Relationship Type="http://schemas.openxmlformats.org/officeDocument/2006/relationships/table" Target="/xl/tables/table3.xml" Id="R946e84d0585b4257" /></Relationships>
</file>

<file path=xl/worksheets/_rels/sheet12.xml.rels>&#65279;<?xml version="1.0" encoding="utf-8"?><Relationships xmlns="http://schemas.openxmlformats.org/package/2006/relationships"><Relationship Type="http://schemas.openxmlformats.org/officeDocument/2006/relationships/table" Target="/xl/tables/table4.xml" Id="R3fb8410775d640da" /></Relationships>
</file>

<file path=xl/worksheets/_rels/sheet13.xml.rels>&#65279;<?xml version="1.0" encoding="utf-8"?><Relationships xmlns="http://schemas.openxmlformats.org/package/2006/relationships"><Relationship Type="http://schemas.openxmlformats.org/officeDocument/2006/relationships/table" Target="/xl/tables/table5.xml" Id="R611d661c5ada4bee" /></Relationships>
</file>

<file path=xl/worksheets/_rels/sheet14.xml.rels>&#65279;<?xml version="1.0" encoding="utf-8"?><Relationships xmlns="http://schemas.openxmlformats.org/package/2006/relationships"><Relationship Type="http://schemas.openxmlformats.org/officeDocument/2006/relationships/table" Target="/xl/tables/table6.xml" Id="Rea6bb627e1dd48e4" /></Relationships>
</file>

<file path=xl/worksheets/_rels/sheet15.xml.rels>&#65279;<?xml version="1.0" encoding="utf-8"?><Relationships xmlns="http://schemas.openxmlformats.org/package/2006/relationships"><Relationship Type="http://schemas.openxmlformats.org/officeDocument/2006/relationships/table" Target="/xl/tables/table7.xml" Id="Rcd05354b18e14887"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14" hidden="0" customWidth="1"/>
    <x:col min="4" max="4" width="14" hidden="0" customWidth="1"/>
    <x:col min="5" max="5" width="12" hidden="0" customWidth="1"/>
    <x:col min="6" max="6" width="12" hidden="0" customWidth="1"/>
    <x:col min="7" max="7" width="12" hidden="0" customWidth="1"/>
    <x:col min="8" max="8" width="3" hidden="0" customWidth="1"/>
    <x:col min="9" max="9" width="18" hidden="0" customWidth="1"/>
    <x:col min="10" max="10" width="18" hidden="0" customWidth="1"/>
    <x:col min="11" max="11" width="18" hidden="0" customWidth="1"/>
    <x:col min="12" max="12" width="18" hidden="0" customWidth="1"/>
    <x:col min="13" max="13" width="18" hidden="0" customWidth="1"/>
  </x:cols>
  <x:sheetData>
    <x:row r="1" ht="22" customHeight="1">
      <x:c r="A1" s="258" t="str">
        <x:v>Gartner Hype Cycle for Emerging Technologies — 10-Year View</x:v>
      </x:c>
      <x:c r="B1" s="258"/>
      <x:c r="C1" s="258"/>
      <x:c r="D1" s="258"/>
      <x:c r="E1" s="258"/>
      <x:c r="F1" s="258"/>
      <x:c r="G1" s="258"/>
      <x:c r="H1" s="258"/>
      <x:c r="I1" s="258"/>
      <x:c r="J1" s="258"/>
      <x:c r="K1" s="258"/>
      <x:c r="L1" s="258"/>
      <x:c r="M1" s="258"/>
      <x:c r="N1" s="59"/>
      <x:c r="O1" s="59"/>
      <x:c r="P1" s="59"/>
    </x:row>
    <x:row r="2" ht="32" customHeight="1">
      <x:c r="A2" s="261" t="str">
        <x:v>Complete flagship matrix: 2016–2025. Separate 2026 update reflects only publicly verifiable information. Outcome columns are an analyst assessment as of September 2026, not Gartner ratings.</x:v>
      </x:c>
      <x:c r="B2" s="261"/>
      <x:c r="C2" s="261"/>
      <x:c r="D2" s="261"/>
      <x:c r="E2" s="261"/>
      <x:c r="F2" s="261"/>
      <x:c r="G2" s="261"/>
      <x:c r="H2" s="261"/>
      <x:c r="I2" s="261"/>
      <x:c r="J2" s="261"/>
      <x:c r="K2" s="261"/>
      <x:c r="L2" s="261"/>
      <x:c r="M2" s="261"/>
      <x:c r="N2" s="51"/>
      <x:c r="O2" s="51"/>
      <x:c r="P2" s="51"/>
    </x:row>
    <x:row r="3">
      <x:c r="A3" s="195"/>
      <x:c r="B3" s="195"/>
      <x:c r="C3" s="195"/>
      <x:c r="D3" s="195"/>
      <x:c r="E3" s="195"/>
      <x:c r="F3" s="195"/>
      <x:c r="G3" s="195"/>
      <x:c r="H3" s="195"/>
      <x:c r="I3" s="195"/>
      <x:c r="J3" s="195"/>
      <x:c r="K3" s="195"/>
      <x:c r="L3" s="195"/>
      <x:c r="M3" s="195"/>
    </x:row>
    <x:row r="4">
      <x:c r="A4" s="277" t="str">
        <x:v>Annual placements</x:v>
      </x:c>
      <x:c r="B4" s="277"/>
      <x:c r="C4" s="277"/>
      <x:c r="D4" s="277" t="str">
        <x:v>Unique exact labels</x:v>
      </x:c>
      <x:c r="E4" s="277"/>
      <x:c r="F4" s="277"/>
      <x:c r="G4" s="277" t="str">
        <x:v>Years with no Slope/Plateau</x:v>
      </x:c>
      <x:c r="H4" s="277"/>
      <x:c r="I4" s="277"/>
      <x:c r="J4" s="277" t="str">
        <x:v>2025 technologies</x:v>
      </x:c>
      <x:c r="K4" s="277"/>
      <x:c r="L4" s="277"/>
      <x:c r="M4" s="277" t="str">
        <x:v>2026 official technologies</x:v>
      </x:c>
      <x:c r="N4" s="71"/>
      <x:c r="O4" s="72"/>
    </x:row>
    <x:row r="5">
      <x:c r="A5" s="201" t="n">
        <x:f>COUNTA('Annual Detail'!$A$5:$A$294)</x:f>
        <x:v>290</x:v>
      </x:c>
      <x:c r="B5" s="201"/>
      <x:c r="C5" s="201"/>
      <x:c r="D5" s="201" t="n">
        <x:f>COUNTA('Matrix 2016-2025'!$A$5:$A$210)</x:f>
        <x:v>206</x:v>
      </x:c>
      <x:c r="E5" s="201"/>
      <x:c r="F5" s="201"/>
      <x:c r="G5" s="201" t="n">
        <x:f>COUNTIFS(E9:E18,0,F9:F18,0)</x:f>
        <x:v>8</x:v>
      </x:c>
      <x:c r="H5" s="201"/>
      <x:c r="I5" s="201"/>
      <x:c r="J5" s="201" t="n">
        <x:f>G18</x:f>
        <x:v>30</x:v>
      </x:c>
      <x:c r="K5" s="201"/>
      <x:c r="L5" s="201"/>
      <x:c r="M5" s="201" t="n">
        <x:v>30</x:v>
      </x:c>
      <x:c r="N5" s="74"/>
      <x:c r="O5" s="75"/>
    </x:row>
    <x:row r="6">
      <x:c r="A6" s="195"/>
      <x:c r="B6" s="195"/>
      <x:c r="C6" s="195"/>
      <x:c r="D6" s="195"/>
      <x:c r="E6" s="195"/>
      <x:c r="F6" s="195"/>
      <x:c r="G6" s="195"/>
      <x:c r="H6" s="195"/>
      <x:c r="I6" s="195"/>
      <x:c r="J6" s="195"/>
      <x:c r="K6" s="195"/>
      <x:c r="L6" s="195"/>
      <x:c r="M6" s="195"/>
    </x:row>
    <x:row r="7">
      <x:c r="A7" s="195"/>
      <x:c r="B7" s="195"/>
      <x:c r="C7" s="195"/>
      <x:c r="D7" s="195"/>
      <x:c r="E7" s="195"/>
      <x:c r="F7" s="195"/>
      <x:c r="G7" s="195"/>
      <x:c r="H7" s="195"/>
      <x:c r="I7" s="195"/>
      <x:c r="J7" s="195"/>
      <x:c r="K7" s="195"/>
      <x:c r="L7" s="195"/>
      <x:c r="M7" s="195"/>
    </x:row>
    <x:row r="8" ht="24" customHeight="1">
      <x:c r="A8" s="320" t="str">
        <x:v>Year</x:v>
      </x:c>
      <x:c r="B8" s="320" t="str">
        <x:v>Innovation Trigger</x:v>
      </x:c>
      <x:c r="C8" s="320" t="str">
        <x:v>Peak</x:v>
      </x:c>
      <x:c r="D8" s="320" t="str">
        <x:v>Trough</x:v>
      </x:c>
      <x:c r="E8" s="320" t="str">
        <x:v>Slope</x:v>
      </x:c>
      <x:c r="F8" s="320" t="str">
        <x:v>Plateau</x:v>
      </x:c>
      <x:c r="G8" s="320" t="str">
        <x:v>Total</x:v>
      </x:c>
      <x:c r="H8" s="321"/>
      <x:c r="I8" s="321"/>
      <x:c r="J8" s="321"/>
      <x:c r="K8" s="321"/>
      <x:c r="L8" s="321"/>
      <x:c r="M8" s="321"/>
    </x:row>
    <x:row r="9">
      <x:c r="A9" s="196" t="n">
        <x:v>2016</x:v>
      </x:c>
      <x:c r="B9" s="196" t="n">
        <x:f>COUNTIFS('Annual Detail'!$A$5:$A$294,A9,'Annual Detail'!$C$5:$C$294,"IT")</x:f>
        <x:v>25</x:v>
      </x:c>
      <x:c r="C9" s="196" t="n">
        <x:f>COUNTIFS('Annual Detail'!$A$5:$A$294,A9,'Annual Detail'!$C$5:$C$294,"PE")</x:f>
        <x:v>5</x:v>
      </x:c>
      <x:c r="D9" s="196" t="n">
        <x:f>COUNTIFS('Annual Detail'!$A$5:$A$294,A9,'Annual Detail'!$C$5:$C$294,"TD")</x:f>
        <x:v>3</x:v>
      </x:c>
      <x:c r="E9" s="196" t="n">
        <x:f>COUNTIFS('Annual Detail'!$A$5:$A$294,A9,'Annual Detail'!$C$5:$C$294,"SE")</x:f>
        <x:v>1</x:v>
      </x:c>
      <x:c r="F9" s="196" t="n">
        <x:f>COUNTIFS('Annual Detail'!$A$5:$A$294,A9,'Annual Detail'!$C$5:$C$294,"PP")</x:f>
        <x:v>0</x:v>
      </x:c>
      <x:c r="G9" s="196" t="n">
        <x:f>SUM(B9:F9)</x:f>
        <x:v>34</x:v>
      </x:c>
      <x:c r="H9" s="195"/>
      <x:c r="I9" s="195"/>
      <x:c r="J9" s="195"/>
      <x:c r="K9" s="195"/>
      <x:c r="L9" s="195"/>
      <x:c r="M9" s="195"/>
    </x:row>
    <x:row r="10">
      <x:c r="A10" s="196" t="n">
        <x:v>2017</x:v>
      </x:c>
      <x:c r="B10" s="196" t="n">
        <x:f>COUNTIFS('Annual Detail'!$A$5:$A$294,A10,'Annual Detail'!$C$5:$C$294,"IT")</x:f>
        <x:v>14</x:v>
      </x:c>
      <x:c r="C10" s="196" t="n">
        <x:f>COUNTIFS('Annual Detail'!$A$5:$A$294,A10,'Annual Detail'!$C$5:$C$294,"PE")</x:f>
        <x:v>13</x:v>
      </x:c>
      <x:c r="D10" s="196" t="n">
        <x:f>COUNTIFS('Annual Detail'!$A$5:$A$294,A10,'Annual Detail'!$C$5:$C$294,"TD")</x:f>
        <x:v>4</x:v>
      </x:c>
      <x:c r="E10" s="196" t="n">
        <x:f>COUNTIFS('Annual Detail'!$A$5:$A$294,A10,'Annual Detail'!$C$5:$C$294,"SE")</x:f>
        <x:v>1</x:v>
      </x:c>
      <x:c r="F10" s="196" t="n">
        <x:f>COUNTIFS('Annual Detail'!$A$5:$A$294,A10,'Annual Detail'!$C$5:$C$294,"PP")</x:f>
        <x:v>0</x:v>
      </x:c>
      <x:c r="G10" s="196" t="n">
        <x:f>SUM(B10:F10)</x:f>
        <x:v>32</x:v>
      </x:c>
      <x:c r="H10" s="195"/>
      <x:c r="I10" s="195"/>
      <x:c r="J10" s="195"/>
      <x:c r="K10" s="195"/>
      <x:c r="L10" s="195"/>
      <x:c r="M10" s="195"/>
    </x:row>
    <x:row r="11">
      <x:c r="A11" s="196" t="n">
        <x:v>2018</x:v>
      </x:c>
      <x:c r="B11" s="196" t="n">
        <x:f>COUNTIFS('Annual Detail'!$A$5:$A$294,A11,'Annual Detail'!$C$5:$C$294,"IT")</x:f>
        <x:v>16</x:v>
      </x:c>
      <x:c r="C11" s="196" t="n">
        <x:f>COUNTIFS('Annual Detail'!$A$5:$A$294,A11,'Annual Detail'!$C$5:$C$294,"PE")</x:f>
        <x:v>14</x:v>
      </x:c>
      <x:c r="D11" s="196" t="n">
        <x:f>COUNTIFS('Annual Detail'!$A$5:$A$294,A11,'Annual Detail'!$C$5:$C$294,"TD")</x:f>
        <x:v>5</x:v>
      </x:c>
      <x:c r="E11" s="196" t="n">
        <x:f>COUNTIFS('Annual Detail'!$A$5:$A$294,A11,'Annual Detail'!$C$5:$C$294,"SE")</x:f>
        <x:v>0</x:v>
      </x:c>
      <x:c r="F11" s="196" t="n">
        <x:f>COUNTIFS('Annual Detail'!$A$5:$A$294,A11,'Annual Detail'!$C$5:$C$294,"PP")</x:f>
        <x:v>0</x:v>
      </x:c>
      <x:c r="G11" s="196" t="n">
        <x:f>SUM(B11:F11)</x:f>
        <x:v>35</x:v>
      </x:c>
      <x:c r="H11" s="195"/>
      <x:c r="I11" s="195"/>
      <x:c r="J11" s="195"/>
      <x:c r="K11" s="195"/>
      <x:c r="L11" s="195"/>
      <x:c r="M11" s="195"/>
    </x:row>
    <x:row r="12">
      <x:c r="A12" s="196" t="n">
        <x:v>2019</x:v>
      </x:c>
      <x:c r="B12" s="196" t="n">
        <x:f>COUNTIFS('Annual Detail'!$A$5:$A$294,A12,'Annual Detail'!$C$5:$C$294,"IT")</x:f>
        <x:v>18</x:v>
      </x:c>
      <x:c r="C12" s="196" t="n">
        <x:f>COUNTIFS('Annual Detail'!$A$5:$A$294,A12,'Annual Detail'!$C$5:$C$294,"PE")</x:f>
        <x:v>8</x:v>
      </x:c>
      <x:c r="D12" s="196" t="n">
        <x:f>COUNTIFS('Annual Detail'!$A$5:$A$294,A12,'Annual Detail'!$C$5:$C$294,"TD")</x:f>
        <x:v>3</x:v>
      </x:c>
      <x:c r="E12" s="196" t="n">
        <x:f>COUNTIFS('Annual Detail'!$A$5:$A$294,A12,'Annual Detail'!$C$5:$C$294,"SE")</x:f>
        <x:v>0</x:v>
      </x:c>
      <x:c r="F12" s="196" t="n">
        <x:f>COUNTIFS('Annual Detail'!$A$5:$A$294,A12,'Annual Detail'!$C$5:$C$294,"PP")</x:f>
        <x:v>0</x:v>
      </x:c>
      <x:c r="G12" s="196" t="n">
        <x:f>SUM(B12:F12)</x:f>
        <x:v>29</x:v>
      </x:c>
      <x:c r="H12" s="195"/>
      <x:c r="I12" s="195"/>
      <x:c r="J12" s="195"/>
      <x:c r="K12" s="195"/>
      <x:c r="L12" s="195"/>
      <x:c r="M12" s="195"/>
    </x:row>
    <x:row r="13">
      <x:c r="A13" s="196" t="n">
        <x:v>2020</x:v>
      </x:c>
      <x:c r="B13" s="196" t="n">
        <x:f>COUNTIFS('Annual Detail'!$A$5:$A$294,A13,'Annual Detail'!$C$5:$C$294,"IT")</x:f>
        <x:v>22</x:v>
      </x:c>
      <x:c r="C13" s="196" t="n">
        <x:f>COUNTIFS('Annual Detail'!$A$5:$A$294,A13,'Annual Detail'!$C$5:$C$294,"PE")</x:f>
        <x:v>5</x:v>
      </x:c>
      <x:c r="D13" s="196" t="n">
        <x:f>COUNTIFS('Annual Detail'!$A$5:$A$294,A13,'Annual Detail'!$C$5:$C$294,"TD")</x:f>
        <x:v>3</x:v>
      </x:c>
      <x:c r="E13" s="196" t="n">
        <x:f>COUNTIFS('Annual Detail'!$A$5:$A$294,A13,'Annual Detail'!$C$5:$C$294,"SE")</x:f>
        <x:v>0</x:v>
      </x:c>
      <x:c r="F13" s="196" t="n">
        <x:f>COUNTIFS('Annual Detail'!$A$5:$A$294,A13,'Annual Detail'!$C$5:$C$294,"PP")</x:f>
        <x:v>0</x:v>
      </x:c>
      <x:c r="G13" s="196" t="n">
        <x:f>SUM(B13:F13)</x:f>
        <x:v>30</x:v>
      </x:c>
      <x:c r="H13" s="195"/>
      <x:c r="I13" s="195"/>
      <x:c r="J13" s="195"/>
      <x:c r="K13" s="195"/>
      <x:c r="L13" s="195"/>
      <x:c r="M13" s="195"/>
    </x:row>
    <x:row r="14">
      <x:c r="A14" s="196" t="n">
        <x:v>2021</x:v>
      </x:c>
      <x:c r="B14" s="196" t="n">
        <x:f>COUNTIFS('Annual Detail'!$A$5:$A$294,A14,'Annual Detail'!$C$5:$C$294,"IT")</x:f>
        <x:v>19</x:v>
      </x:c>
      <x:c r="C14" s="196" t="n">
        <x:f>COUNTIFS('Annual Detail'!$A$5:$A$294,A14,'Annual Detail'!$C$5:$C$294,"PE")</x:f>
        <x:v>6</x:v>
      </x:c>
      <x:c r="D14" s="196" t="n">
        <x:f>COUNTIFS('Annual Detail'!$A$5:$A$294,A14,'Annual Detail'!$C$5:$C$294,"TD")</x:f>
        <x:v>0</x:v>
      </x:c>
      <x:c r="E14" s="196" t="n">
        <x:f>COUNTIFS('Annual Detail'!$A$5:$A$294,A14,'Annual Detail'!$C$5:$C$294,"SE")</x:f>
        <x:v>0</x:v>
      </x:c>
      <x:c r="F14" s="196" t="n">
        <x:f>COUNTIFS('Annual Detail'!$A$5:$A$294,A14,'Annual Detail'!$C$5:$C$294,"PP")</x:f>
        <x:v>0</x:v>
      </x:c>
      <x:c r="G14" s="196" t="n">
        <x:f>SUM(B14:F14)</x:f>
        <x:v>25</x:v>
      </x:c>
      <x:c r="H14" s="195"/>
      <x:c r="I14" s="195"/>
      <x:c r="J14" s="195"/>
      <x:c r="K14" s="195"/>
      <x:c r="L14" s="195"/>
      <x:c r="M14" s="195"/>
    </x:row>
    <x:row r="15">
      <x:c r="A15" s="196" t="n">
        <x:v>2022</x:v>
      </x:c>
      <x:c r="B15" s="196" t="n">
        <x:f>COUNTIFS('Annual Detail'!$A$5:$A$294,A15,'Annual Detail'!$C$5:$C$294,"IT")</x:f>
        <x:v>19</x:v>
      </x:c>
      <x:c r="C15" s="196" t="n">
        <x:f>COUNTIFS('Annual Detail'!$A$5:$A$294,A15,'Annual Detail'!$C$5:$C$294,"PE")</x:f>
        <x:v>6</x:v>
      </x:c>
      <x:c r="D15" s="196" t="n">
        <x:f>COUNTIFS('Annual Detail'!$A$5:$A$294,A15,'Annual Detail'!$C$5:$C$294,"TD")</x:f>
        <x:v>0</x:v>
      </x:c>
      <x:c r="E15" s="196" t="n">
        <x:f>COUNTIFS('Annual Detail'!$A$5:$A$294,A15,'Annual Detail'!$C$5:$C$294,"SE")</x:f>
        <x:v>0</x:v>
      </x:c>
      <x:c r="F15" s="196" t="n">
        <x:f>COUNTIFS('Annual Detail'!$A$5:$A$294,A15,'Annual Detail'!$C$5:$C$294,"PP")</x:f>
        <x:v>0</x:v>
      </x:c>
      <x:c r="G15" s="196" t="n">
        <x:f>SUM(B15:F15)</x:f>
        <x:v>25</x:v>
      </x:c>
      <x:c r="H15" s="195"/>
      <x:c r="I15" s="195"/>
      <x:c r="J15" s="195"/>
      <x:c r="K15" s="195"/>
      <x:c r="L15" s="195"/>
      <x:c r="M15" s="195"/>
    </x:row>
    <x:row r="16">
      <x:c r="A16" s="196" t="n">
        <x:v>2023</x:v>
      </x:c>
      <x:c r="B16" s="196" t="n">
        <x:f>COUNTIFS('Annual Detail'!$A$5:$A$294,A16,'Annual Detail'!$C$5:$C$294,"IT")</x:f>
        <x:v>17</x:v>
      </x:c>
      <x:c r="C16" s="196" t="n">
        <x:f>COUNTIFS('Annual Detail'!$A$5:$A$294,A16,'Annual Detail'!$C$5:$C$294,"PE")</x:f>
        <x:v>8</x:v>
      </x:c>
      <x:c r="D16" s="196" t="n">
        <x:f>COUNTIFS('Annual Detail'!$A$5:$A$294,A16,'Annual Detail'!$C$5:$C$294,"TD")</x:f>
        <x:v>0</x:v>
      </x:c>
      <x:c r="E16" s="196" t="n">
        <x:f>COUNTIFS('Annual Detail'!$A$5:$A$294,A16,'Annual Detail'!$C$5:$C$294,"SE")</x:f>
        <x:v>0</x:v>
      </x:c>
      <x:c r="F16" s="196" t="n">
        <x:f>COUNTIFS('Annual Detail'!$A$5:$A$294,A16,'Annual Detail'!$C$5:$C$294,"PP")</x:f>
        <x:v>0</x:v>
      </x:c>
      <x:c r="G16" s="196" t="n">
        <x:f>SUM(B16:F16)</x:f>
        <x:v>25</x:v>
      </x:c>
      <x:c r="H16" s="195"/>
      <x:c r="I16" s="195"/>
      <x:c r="J16" s="195"/>
      <x:c r="K16" s="195"/>
      <x:c r="L16" s="195"/>
      <x:c r="M16" s="195"/>
    </x:row>
    <x:row r="17">
      <x:c r="A17" s="196" t="n">
        <x:v>2024</x:v>
      </x:c>
      <x:c r="B17" s="196" t="n">
        <x:f>COUNTIFS('Annual Detail'!$A$5:$A$294,A17,'Annual Detail'!$C$5:$C$294,"IT")</x:f>
        <x:v>14</x:v>
      </x:c>
      <x:c r="C17" s="196" t="n">
        <x:f>COUNTIFS('Annual Detail'!$A$5:$A$294,A17,'Annual Detail'!$C$5:$C$294,"PE")</x:f>
        <x:v>10</x:v>
      </x:c>
      <x:c r="D17" s="196" t="n">
        <x:f>COUNTIFS('Annual Detail'!$A$5:$A$294,A17,'Annual Detail'!$C$5:$C$294,"TD")</x:f>
        <x:v>1</x:v>
      </x:c>
      <x:c r="E17" s="196" t="n">
        <x:f>COUNTIFS('Annual Detail'!$A$5:$A$294,A17,'Annual Detail'!$C$5:$C$294,"SE")</x:f>
        <x:v>0</x:v>
      </x:c>
      <x:c r="F17" s="196" t="n">
        <x:f>COUNTIFS('Annual Detail'!$A$5:$A$294,A17,'Annual Detail'!$C$5:$C$294,"PP")</x:f>
        <x:v>0</x:v>
      </x:c>
      <x:c r="G17" s="196" t="n">
        <x:f>SUM(B17:F17)</x:f>
        <x:v>25</x:v>
      </x:c>
      <x:c r="H17" s="195"/>
      <x:c r="I17" s="195"/>
      <x:c r="J17" s="195"/>
      <x:c r="K17" s="195"/>
      <x:c r="L17" s="195"/>
      <x:c r="M17" s="195"/>
    </x:row>
    <x:row r="18">
      <x:c r="A18" s="196" t="n">
        <x:v>2025</x:v>
      </x:c>
      <x:c r="B18" s="196" t="n">
        <x:f>COUNTIFS('Annual Detail'!$A$5:$A$294,A18,'Annual Detail'!$C$5:$C$294,"IT")</x:f>
        <x:v>16</x:v>
      </x:c>
      <x:c r="C18" s="196" t="n">
        <x:f>COUNTIFS('Annual Detail'!$A$5:$A$294,A18,'Annual Detail'!$C$5:$C$294,"PE")</x:f>
        <x:v>14</x:v>
      </x:c>
      <x:c r="D18" s="196" t="n">
        <x:f>COUNTIFS('Annual Detail'!$A$5:$A$294,A18,'Annual Detail'!$C$5:$C$294,"TD")</x:f>
        <x:v>0</x:v>
      </x:c>
      <x:c r="E18" s="196" t="n">
        <x:f>COUNTIFS('Annual Detail'!$A$5:$A$294,A18,'Annual Detail'!$C$5:$C$294,"SE")</x:f>
        <x:v>0</x:v>
      </x:c>
      <x:c r="F18" s="196" t="n">
        <x:f>COUNTIFS('Annual Detail'!$A$5:$A$294,A18,'Annual Detail'!$C$5:$C$294,"PP")</x:f>
        <x:v>0</x:v>
      </x:c>
      <x:c r="G18" s="196" t="n">
        <x:f>SUM(B18:F18)</x:f>
        <x:v>30</x:v>
      </x:c>
      <x:c r="H18" s="195"/>
      <x:c r="I18" s="195"/>
      <x:c r="J18" s="195"/>
      <x:c r="K18" s="195"/>
      <x:c r="L18" s="195"/>
      <x:c r="M18" s="195"/>
    </x:row>
    <x:row r="19">
      <x:c r="A19" s="195"/>
      <x:c r="B19" s="195"/>
      <x:c r="C19" s="195"/>
      <x:c r="D19" s="195"/>
      <x:c r="E19" s="195"/>
      <x:c r="F19" s="195"/>
      <x:c r="G19" s="195"/>
      <x:c r="H19" s="195"/>
      <x:c r="I19" s="195"/>
      <x:c r="J19" s="195"/>
      <x:c r="K19" s="195"/>
      <x:c r="L19" s="195"/>
      <x:c r="M19" s="195"/>
    </x:row>
    <x:row r="20">
      <x:c r="A20" s="194" t="str">
        <x:v>Code</x:v>
      </x:c>
      <x:c r="B20" s="194" t="str">
        <x:v>Phase</x:v>
      </x:c>
      <x:c r="C20" s="194" t="str">
        <x:v>What it means</x:v>
      </x:c>
      <x:c r="D20" s="195" t="str"/>
      <x:c r="E20" s="195" t="str"/>
      <x:c r="F20" s="195" t="str"/>
      <x:c r="G20" s="195"/>
      <x:c r="H20" s="195"/>
      <x:c r="I20" s="195"/>
      <x:c r="J20" s="195"/>
      <x:c r="K20" s="195"/>
      <x:c r="L20" s="195"/>
      <x:c r="M20" s="195"/>
    </x:row>
    <x:row r="21">
      <x:c r="A21" s="194" t="str">
        <x:v>IT</x:v>
      </x:c>
      <x:c r="B21" s="195" t="str">
        <x:v>Innovation Trigger</x:v>
      </x:c>
      <x:c r="C21" s="195" t="str">
        <x:v>Early breakthrough / proof-of-concept; high uncertainty.</x:v>
      </x:c>
      <x:c r="D21" s="195"/>
      <x:c r="E21" s="195"/>
      <x:c r="F21" s="195"/>
      <x:c r="G21" s="195"/>
      <x:c r="H21" s="195"/>
      <x:c r="I21" s="195"/>
      <x:c r="J21" s="195"/>
      <x:c r="K21" s="195"/>
      <x:c r="L21" s="195"/>
      <x:c r="M21" s="195"/>
    </x:row>
    <x:row r="22">
      <x:c r="A22" s="194" t="str">
        <x:v>PE</x:v>
      </x:c>
      <x:c r="B22" s="195" t="str">
        <x:v>Peak of Inflated Expectations</x:v>
      </x:c>
      <x:c r="C22" s="195" t="str">
        <x:v>Hype and expectations outpace demonstrated value.</x:v>
      </x:c>
      <x:c r="D22" s="195"/>
      <x:c r="E22" s="195"/>
      <x:c r="F22" s="195"/>
      <x:c r="G22" s="195"/>
      <x:c r="H22" s="195"/>
      <x:c r="I22" s="195"/>
      <x:c r="J22" s="195"/>
      <x:c r="K22" s="195"/>
      <x:c r="L22" s="195"/>
      <x:c r="M22" s="195"/>
    </x:row>
    <x:row r="23">
      <x:c r="A23" s="194" t="str">
        <x:v>TD</x:v>
      </x:c>
      <x:c r="B23" s="195" t="str">
        <x:v>Trough of Disillusionment</x:v>
      </x:c>
      <x:c r="C23" s="195" t="str">
        <x:v>Interest falls as limitations, weak ROI or failed pilots surface.</x:v>
      </x:c>
      <x:c r="D23" s="195"/>
      <x:c r="E23" s="195"/>
      <x:c r="F23" s="195"/>
      <x:c r="G23" s="195"/>
      <x:c r="H23" s="195"/>
      <x:c r="I23" s="195"/>
      <x:c r="J23" s="195"/>
      <x:c r="K23" s="195"/>
      <x:c r="L23" s="195"/>
      <x:c r="M23" s="195"/>
    </x:row>
    <x:row r="24">
      <x:c r="A24" s="194" t="str">
        <x:v>SE</x:v>
      </x:c>
      <x:c r="B24" s="195" t="str">
        <x:v>Slope of Enlightenment</x:v>
      </x:c>
      <x:c r="C24" s="195" t="str">
        <x:v>Practical use cases and repeatable value become clearer.</x:v>
      </x:c>
      <x:c r="D24" s="195"/>
      <x:c r="E24" s="195"/>
      <x:c r="F24" s="195"/>
      <x:c r="G24" s="195"/>
      <x:c r="H24" s="195"/>
      <x:c r="I24" s="195"/>
      <x:c r="J24" s="195"/>
      <x:c r="K24" s="195"/>
      <x:c r="L24" s="195"/>
      <x:c r="M24" s="195"/>
    </x:row>
    <x:row r="25">
      <x:c r="A25" s="194" t="str">
        <x:v>PP</x:v>
      </x:c>
      <x:c r="B25" s="195" t="str">
        <x:v>Plateau of Productivity</x:v>
      </x:c>
      <x:c r="C25" s="195" t="str">
        <x:v>Adoption broadens and real-world value is mainstream.</x:v>
      </x:c>
      <x:c r="D25" s="195"/>
      <x:c r="E25" s="195"/>
      <x:c r="F25" s="195"/>
      <x:c r="G25" s="195"/>
      <x:c r="H25" s="195"/>
      <x:c r="I25" s="195"/>
      <x:c r="J25" s="195"/>
      <x:c r="K25" s="195"/>
      <x:c r="L25" s="195"/>
      <x:c r="M25" s="195"/>
    </x:row>
    <x:row r="26">
      <x:c r="A26" s="195"/>
      <x:c r="B26" s="195"/>
      <x:c r="C26" s="195"/>
      <x:c r="D26" s="195"/>
      <x:c r="E26" s="195"/>
      <x:c r="F26" s="195"/>
      <x:c r="G26" s="195"/>
      <x:c r="H26" s="195"/>
      <x:c r="I26" s="195"/>
      <x:c r="J26" s="195"/>
      <x:c r="K26" s="195"/>
      <x:c r="L26" s="195"/>
      <x:c r="M26" s="195"/>
    </x:row>
    <x:row r="27">
      <x:c r="A27" s="195"/>
      <x:c r="B27" s="195"/>
      <x:c r="C27" s="195"/>
      <x:c r="D27" s="195"/>
      <x:c r="E27" s="195"/>
      <x:c r="F27" s="195"/>
      <x:c r="G27" s="195"/>
      <x:c r="H27" s="195"/>
      <x:c r="I27" s="195"/>
      <x:c r="J27" s="195"/>
      <x:c r="K27" s="195"/>
      <x:c r="L27" s="195"/>
      <x:c r="M27" s="195"/>
    </x:row>
    <x:row r="28">
      <x:c r="A28" s="194" t="str">
        <x:v>Selected longitudinal journeys</x:v>
      </x:c>
      <x:c r="B28" s="194"/>
      <x:c r="C28" s="194"/>
      <x:c r="D28" s="194"/>
      <x:c r="E28" s="194"/>
      <x:c r="F28" s="194"/>
      <x:c r="G28" s="194"/>
      <x:c r="H28" s="194"/>
      <x:c r="I28" s="194"/>
      <x:c r="J28" s="194"/>
      <x:c r="K28" s="194"/>
      <x:c r="L28" s="194"/>
      <x:c r="M28" s="194"/>
      <x:c r="N28" s="110"/>
      <x:c r="O28" s="110"/>
      <x:c r="P28" s="110"/>
    </x:row>
    <x:row r="29">
      <x:c r="A29" s="201" t="str">
        <x:v>Technology</x:v>
      </x:c>
      <x:c r="B29" s="201" t="str">
        <x:v>2016</x:v>
      </x:c>
      <x:c r="C29" s="201" t="str">
        <x:v>2017</x:v>
      </x:c>
      <x:c r="D29" s="201" t="str">
        <x:v>2018</x:v>
      </x:c>
      <x:c r="E29" s="201" t="str">
        <x:v>2019</x:v>
      </x:c>
      <x:c r="F29" s="201" t="str">
        <x:v>2020</x:v>
      </x:c>
      <x:c r="G29" s="201" t="str">
        <x:v>2021</x:v>
      </x:c>
      <x:c r="H29" s="201" t="str">
        <x:v>2022</x:v>
      </x:c>
      <x:c r="I29" s="201" t="str">
        <x:v>2023</x:v>
      </x:c>
      <x:c r="J29" s="201" t="str">
        <x:v>2024</x:v>
      </x:c>
      <x:c r="K29" s="201" t="str">
        <x:v>2025</x:v>
      </x:c>
      <x:c r="L29" s="201" t="str">
        <x:v>2026 outcome</x:v>
      </x:c>
      <x:c r="M29" s="201" t="str">
        <x:v>Interpretation</x:v>
      </x:c>
    </x:row>
    <x:row r="30">
      <x:c r="A30" s="195" t="str">
        <x:v>Machine Learning</x:v>
      </x:c>
      <x:c r="B30" s="196" t="str">
        <x:v>PE</x:v>
      </x:c>
      <x:c r="C30" s="196" t="str">
        <x:v>PE</x:v>
      </x:c>
      <x:c r="D30" s="196" t="str"/>
      <x:c r="E30" s="196" t="str"/>
      <x:c r="F30" s="196" t="str"/>
      <x:c r="G30" s="196" t="str"/>
      <x:c r="H30" s="196" t="str"/>
      <x:c r="I30" s="196" t="str"/>
      <x:c r="J30" s="196" t="str"/>
      <x:c r="K30" s="196" t="str"/>
      <x:c r="L30" s="195" t="str">
        <x:v>Mainstream/core AI capability</x:v>
      </x:c>
      <x:c r="M30" s="195" t="str">
        <x:v>Reached the Peak in 2016–17; the label then left the flagship as ML became foundational.</x:v>
      </x:c>
    </x:row>
    <x:row r="31">
      <x:c r="A31" s="195" t="str">
        <x:v>Blockchain</x:v>
      </x:c>
      <x:c r="B31" s="196" t="str">
        <x:v>IT</x:v>
      </x:c>
      <x:c r="C31" s="196" t="str">
        <x:v>PE</x:v>
      </x:c>
      <x:c r="D31" s="196" t="str">
        <x:v>PE</x:v>
      </x:c>
      <x:c r="E31" s="196" t="str"/>
      <x:c r="F31" s="196" t="str"/>
      <x:c r="G31" s="196" t="str"/>
      <x:c r="H31" s="196" t="str"/>
      <x:c r="I31" s="196" t="str"/>
      <x:c r="J31" s="196" t="str"/>
      <x:c r="K31" s="196" t="str"/>
      <x:c r="L31" s="195" t="str">
        <x:v>Hype cooled; specialist uses remain</x:v>
      </x:c>
      <x:c r="M31" s="195" t="str">
        <x:v>Moved Trigger → Peak, then disappeared from the flagship while enterprise/crypto use continued in narrower forms.</x:v>
      </x:c>
    </x:row>
    <x:row r="32">
      <x:c r="A32" s="195" t="str">
        <x:v>Augmented Reality</x:v>
      </x:c>
      <x:c r="B32" s="196" t="str">
        <x:v>TD</x:v>
      </x:c>
      <x:c r="C32" s="196" t="str">
        <x:v>TD</x:v>
      </x:c>
      <x:c r="D32" s="196" t="str">
        <x:v>TD</x:v>
      </x:c>
      <x:c r="E32" s="196" t="str"/>
      <x:c r="F32" s="196" t="str"/>
      <x:c r="G32" s="196" t="str"/>
      <x:c r="H32" s="196" t="str"/>
      <x:c r="I32" s="196" t="str"/>
      <x:c r="J32" s="196" t="str"/>
      <x:c r="K32" s="196" t="str"/>
      <x:c r="L32" s="195" t="str">
        <x:v>Established technology</x:v>
      </x:c>
      <x:c r="M32" s="195" t="str">
        <x:v>Sat in the Trough 2016–18; later products and enterprise uses became practical without returning to the flagship.</x:v>
      </x:c>
    </x:row>
    <x:row r="33">
      <x:c r="A33" s="195" t="str">
        <x:v>Virtual Reality</x:v>
      </x:c>
      <x:c r="B33" s="196" t="str">
        <x:v>SE</x:v>
      </x:c>
      <x:c r="C33" s="196" t="str">
        <x:v>SE</x:v>
      </x:c>
      <x:c r="D33" s="196" t="str"/>
      <x:c r="E33" s="196" t="str"/>
      <x:c r="F33" s="196" t="str"/>
      <x:c r="G33" s="196" t="str"/>
      <x:c r="H33" s="196" t="str"/>
      <x:c r="I33" s="196" t="str"/>
      <x:c r="J33" s="196" t="str"/>
      <x:c r="K33" s="196" t="str"/>
      <x:c r="L33" s="195" t="str">
        <x:v>Established / niche</x:v>
      </x:c>
      <x:c r="M33" s="195" t="str">
        <x:v>Already on the Slope in 2016–17, then left the flagship as the category matured.</x:v>
      </x:c>
    </x:row>
    <x:row r="34">
      <x:c r="A34" s="195" t="str">
        <x:v>5G</x:v>
      </x:c>
      <x:c r="B34" s="196" t="str"/>
      <x:c r="C34" s="196" t="str">
        <x:v>IT</x:v>
      </x:c>
      <x:c r="D34" s="196" t="str">
        <x:v>IT</x:v>
      </x:c>
      <x:c r="E34" s="196" t="str">
        <x:v>PE</x:v>
      </x:c>
      <x:c r="F34" s="196" t="str"/>
      <x:c r="G34" s="196" t="str"/>
      <x:c r="H34" s="196" t="str"/>
      <x:c r="I34" s="196" t="str"/>
      <x:c r="J34" s="196" t="str"/>
      <x:c r="K34" s="196" t="str"/>
      <x:c r="L34" s="195" t="str">
        <x:v>Mainstream infrastructure</x:v>
      </x:c>
      <x:c r="M34" s="195" t="str">
        <x:v>Innovation Trigger in 2017–18 → Peak in 2019; later became standard mobile infrastructure.</x:v>
      </x:c>
    </x:row>
    <x:row r="35">
      <x:c r="A35" s="195" t="str">
        <x:v>Generative AI</x:v>
      </x:c>
      <x:c r="B35" s="196" t="str"/>
      <x:c r="C35" s="196" t="str"/>
      <x:c r="D35" s="196" t="str"/>
      <x:c r="E35" s="196" t="str"/>
      <x:c r="F35" s="196" t="str">
        <x:v>IT</x:v>
      </x:c>
      <x:c r="G35" s="196" t="str">
        <x:v>IT</x:v>
      </x:c>
      <x:c r="H35" s="196" t="str"/>
      <x:c r="I35" s="196" t="str">
        <x:v>PE</x:v>
      </x:c>
      <x:c r="J35" s="196" t="str">
        <x:v>TD</x:v>
      </x:c>
      <x:c r="K35" s="196" t="str"/>
      <x:c r="L35" s="195" t="str">
        <x:v>Established / mainstream</x:v>
      </x:c>
      <x:c r="M35" s="195" t="str">
        <x:v>Innovation Trigger 2020–21 → Peak 2023 → Trough 2024; 2025 focus shifted to agents and domain-specific models.</x:v>
      </x:c>
    </x:row>
    <x:row r="36">
      <x:c r="A36" s="195" t="str">
        <x:v>AI-Augmented Software Engineering</x:v>
      </x:c>
      <x:c r="B36" s="196" t="str"/>
      <x:c r="C36" s="196" t="str"/>
      <x:c r="D36" s="196" t="str"/>
      <x:c r="E36" s="196" t="str"/>
      <x:c r="F36" s="196" t="str"/>
      <x:c r="G36" s="196" t="str">
        <x:v>PE</x:v>
      </x:c>
      <x:c r="H36" s="196" t="str"/>
      <x:c r="I36" s="196" t="str">
        <x:v>PE</x:v>
      </x:c>
      <x:c r="J36" s="196" t="str">
        <x:v>PE</x:v>
      </x:c>
      <x:c r="K36" s="196" t="str"/>
      <x:c r="L36" s="195" t="str">
        <x:v>Established / mainstream</x:v>
      </x:c>
      <x:c r="M36" s="195" t="str">
        <x:v>At the Peak in 2021, 2023 and 2024; rapidly embedded into developer workflows.</x:v>
      </x:c>
    </x:row>
    <x:row r="37">
      <x:c r="A37" s="195" t="str">
        <x:v>Homomorphic Encryption</x:v>
      </x:c>
      <x:c r="B37" s="196" t="str"/>
      <x:c r="C37" s="196" t="str"/>
      <x:c r="D37" s="196" t="str"/>
      <x:c r="E37" s="196" t="str"/>
      <x:c r="F37" s="196" t="str"/>
      <x:c r="G37" s="196" t="str">
        <x:v>IT</x:v>
      </x:c>
      <x:c r="H37" s="196" t="str"/>
      <x:c r="I37" s="196" t="str">
        <x:v>IT</x:v>
      </x:c>
      <x:c r="J37" s="196" t="str">
        <x:v>PE</x:v>
      </x:c>
      <x:c r="K37" s="196" t="str">
        <x:v>PE</x:v>
      </x:c>
      <x:c r="L37" s="195" t="str">
        <x:v>Established / specialist</x:v>
      </x:c>
      <x:c r="M37" s="195" t="str">
        <x:v>Trigger in 2021/23 → Peak in 2024/25; valuable but still constrained by performance and specialised use.</x:v>
      </x:c>
    </x:row>
    <x:row r="38">
      <x:c r="A38" s="195" t="str">
        <x:v>Artificial General Intelligence</x:v>
      </x:c>
      <x:c r="B38" s="196" t="str"/>
      <x:c r="C38" s="196" t="str">
        <x:v>IT</x:v>
      </x:c>
      <x:c r="D38" s="196" t="str">
        <x:v>IT</x:v>
      </x:c>
      <x:c r="E38" s="196" t="str"/>
      <x:c r="F38" s="196" t="str"/>
      <x:c r="G38" s="196" t="str"/>
      <x:c r="H38" s="196" t="str"/>
      <x:c r="I38" s="196" t="str"/>
      <x:c r="J38" s="196" t="str">
        <x:v>IT</x:v>
      </x:c>
      <x:c r="K38" s="196" t="str">
        <x:v>PE</x:v>
      </x:c>
      <x:c r="L38" s="195" t="str">
        <x:v>Still emerging / long-horizon</x:v>
      </x:c>
      <x:c r="M38" s="195" t="str">
        <x:v>Trigger in 2017/18 and 2024 → Peak in 2025; expectations have accelerated faster than demonstrated AGI.</x:v>
      </x:c>
    </x:row>
    <x:row r="39">
      <x:c r="A39" s="195" t="str">
        <x:v>Machine Customers</x:v>
      </x:c>
      <x:c r="B39" s="196" t="str"/>
      <x:c r="C39" s="196" t="str"/>
      <x:c r="D39" s="196" t="str"/>
      <x:c r="E39" s="196" t="str"/>
      <x:c r="F39" s="196" t="str"/>
      <x:c r="G39" s="196" t="str"/>
      <x:c r="H39" s="196" t="str"/>
      <x:c r="I39" s="196" t="str"/>
      <x:c r="J39" s="196" t="str">
        <x:v>PE</x:v>
      </x:c>
      <x:c r="K39" s="196" t="str">
        <x:v>PE</x:v>
      </x:c>
      <x:c r="L39" s="195" t="str">
        <x:v>Still emerging / evolving</x:v>
      </x:c>
      <x:c r="M39" s="195" t="str">
        <x:v>Peak in 2024 and 2025; continues as a strategic autonomous-business concept.</x:v>
      </x:c>
    </x:row>
    <x:row r="40">
      <x:c r="A40" s="195" t="str">
        <x:v>AI Agents</x:v>
      </x:c>
      <x:c r="B40" s="196" t="str"/>
      <x:c r="C40" s="196" t="str"/>
      <x:c r="D40" s="196" t="str"/>
      <x:c r="E40" s="196" t="str"/>
      <x:c r="F40" s="196" t="str"/>
      <x:c r="G40" s="196" t="str"/>
      <x:c r="H40" s="196" t="str"/>
      <x:c r="I40" s="196" t="str"/>
      <x:c r="J40" s="196" t="str"/>
      <x:c r="K40" s="196" t="str">
        <x:v>PE</x:v>
      </x:c>
      <x:c r="L40" s="195" t="str">
        <x:v>Still emerging / evolving</x:v>
      </x:c>
      <x:c r="M40" s="195" t="str">
        <x:v>Appeared directly at the Peak in 2025; public 2026 reporting suggests the umbrella term split into specialist agent categories.</x:v>
      </x:c>
    </x:row>
    <x:row r="41">
      <x:c r="A41" s="195" t="str">
        <x:v>Model Context Protocol</x:v>
      </x:c>
      <x:c r="B41" s="196" t="str"/>
      <x:c r="C41" s="196" t="str"/>
      <x:c r="D41" s="196" t="str"/>
      <x:c r="E41" s="196" t="str"/>
      <x:c r="F41" s="196" t="str"/>
      <x:c r="G41" s="196" t="str"/>
      <x:c r="H41" s="196" t="str"/>
      <x:c r="I41" s="196" t="str"/>
      <x:c r="J41" s="196" t="str"/>
      <x:c r="K41" s="196" t="str">
        <x:v>IT</x:v>
      </x:c>
      <x:c r="L41" s="195" t="str">
        <x:v>Still emerging / evolving</x:v>
      </x:c>
      <x:c r="M41" s="195" t="str">
        <x:v>Innovation Trigger in 2025; public 2026 reporting says it moved rapidly toward the Peak.</x:v>
      </x:c>
    </x:row>
  </x:sheetData>
  <x:mergeCells>
    <x:mergeCell ref="A1:P1"/>
    <x:mergeCell ref="A2:P2"/>
    <x:mergeCell ref="A4:C4"/>
    <x:mergeCell ref="A5:C5"/>
    <x:mergeCell ref="D4:F4"/>
    <x:mergeCell ref="D5:F5"/>
    <x:mergeCell ref="G4:I4"/>
    <x:mergeCell ref="G5:I5"/>
    <x:mergeCell ref="J4:L4"/>
    <x:mergeCell ref="J5:L5"/>
    <x:mergeCell ref="M4:O4"/>
    <x:mergeCell ref="M5:O5"/>
    <x:mergeCell ref="A28:P28"/>
  </x:mergeCells>
  <x:conditionalFormatting sqref="B30:K41">
    <x:cfRule type="expression" dxfId="10" priority="1">
      <x:formula>B30="IT"</x:formula>
    </x:cfRule>
    <x:cfRule type="expression" dxfId="11" priority="2">
      <x:formula>B30="PE"</x:formula>
    </x:cfRule>
    <x:cfRule type="expression" dxfId="12" priority="3">
      <x:formula>B30="TD"</x:formula>
    </x:cfRule>
    <x:cfRule type="expression" dxfId="13" priority="4">
      <x:formula>B30="SE"</x:formula>
    </x:cfRule>
    <x:cfRule type="expression" dxfId="14" priority="5">
      <x:formula>B30="PP"</x:formula>
    </x:cfRule>
  </x:conditionalFormatting>
  <x:pageMargins left="0.7" right="0.7" top="0.75" bottom="0.75" header="0.3" footer="0.3"/>
  <x:drawing xmlns:r="http://schemas.openxmlformats.org/officeDocument/2006/relationships" r:id="Raaf831fdec144af5"/>
</x:worksheet>
</file>

<file path=xl/worksheets/sheet2.xml><?xml version="1.0" encoding="utf-8"?>
<x:worksheet xmlns:x="http://schemas.openxmlformats.org/spreadsheetml/2006/main">
  <x:sheetFormatPr defaultRowHeight="15"/>
  <x:cols>
    <x:col min="1" max="1" width="28" hidden="0" customWidth="1"/>
    <x:col min="2" max="2" width="25"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12" hidden="0" customWidth="1"/>
    <x:col min="14" max="14" width="11" hidden="0" customWidth="1"/>
    <x:col min="15" max="15" width="11" hidden="0" customWidth="1"/>
    <x:col min="16" max="16" width="30" hidden="0" customWidth="1"/>
    <x:col min="17" max="17" width="25" hidden="0" customWidth="1"/>
    <x:col min="18" max="18" width="48" hidden="0" customWidth="1"/>
    <x:col min="19" max="19" width="34" hidden="0" customWidth="1"/>
    <x:col min="20" max="20" width="18" hidden="0" customWidth="1"/>
    <x:col min="21" max="21" width="12" hidden="0" customWidth="1"/>
    <x:col min="22" max="22" width="32" hidden="0" customWidth="1"/>
    <x:col min="23" max="23" width="12" hidden="0" customWidth="1"/>
    <x:col min="24" max="24" width="32" hidden="0" customWidth="1"/>
    <x:col min="25" max="25" width="12" hidden="0" customWidth="1"/>
    <x:col min="26" max="26" width="20" hidden="0" customWidth="1"/>
    <x:col min="27" max="27" width="12" hidden="0" customWidth="1"/>
    <x:col min="28" max="28" width="48" hidden="0" customWidth="1"/>
    <x:col min="29" max="29" width="54" hidden="0" customWidth="1"/>
  </x:cols>
  <x:sheetData>
    <x:row r="1" ht="22" customHeight="1">
      <x:c r="A1" s="258" t="str">
        <x:v>Gartner Hype Cycle for Emerging Technologies — 10-Year Longitudinal Matrix</x:v>
      </x:c>
      <x:c r="B1" s="258"/>
      <x:c r="C1" s="258"/>
      <x:c r="D1" s="258"/>
      <x:c r="E1" s="258"/>
      <x:c r="F1" s="258"/>
      <x:c r="G1" s="258"/>
      <x:c r="H1" s="258"/>
      <x:c r="I1" s="258"/>
      <x:c r="J1" s="258"/>
      <x:c r="K1" s="258"/>
      <x:c r="L1" s="258"/>
      <x:c r="M1" s="258"/>
      <x:c r="N1" s="258"/>
      <x:c r="O1" s="258"/>
      <x:c r="P1" s="258"/>
      <x:c r="Q1" s="258"/>
      <x:c r="R1" s="258"/>
      <x:c r="S1" s="258"/>
      <x:c r="T1" s="258"/>
      <x:c r="U1" s="258"/>
      <x:c r="V1" s="258"/>
      <x:c r="W1" s="258"/>
      <x:c r="X1" s="258"/>
      <x:c r="Y1" s="258"/>
      <x:c r="Z1" s="258"/>
      <x:c r="AA1" s="258"/>
      <x:c r="AB1" s="309"/>
      <x:c r="AC1" s="258"/>
    </x:row>
    <x:row r="2" ht="32" customHeight="1">
      <x:c r="A2" s="261" t="str">
        <x:v>Scope: 2016–2025 exact Gartner labels. Cells show Hype Cycle phase. Blank = not on that year’s flagship. 2026 adoption columns use a transparent maturity model calibrated to public adoption evidence; they are not claimed as like-for-like measured market penetration.</x:v>
      </x:c>
      <x:c r="B2" s="261"/>
      <x:c r="C2" s="261"/>
      <x:c r="D2" s="261"/>
      <x:c r="E2" s="261"/>
      <x:c r="F2" s="261"/>
      <x:c r="G2" s="261"/>
      <x:c r="H2" s="261"/>
      <x:c r="I2" s="261"/>
      <x:c r="J2" s="261"/>
      <x:c r="K2" s="261"/>
      <x:c r="L2" s="261"/>
      <x:c r="M2" s="261"/>
      <x:c r="N2" s="261"/>
      <x:c r="O2" s="261"/>
      <x:c r="P2" s="261"/>
      <x:c r="Q2" s="261"/>
      <x:c r="R2" s="261"/>
      <x:c r="S2" s="261"/>
      <x:c r="T2" s="261"/>
      <x:c r="U2" s="261"/>
      <x:c r="V2" s="261"/>
      <x:c r="W2" s="261"/>
      <x:c r="X2" s="261"/>
      <x:c r="Y2" s="261"/>
      <x:c r="Z2" s="261"/>
      <x:c r="AA2" s="261"/>
      <x:c r="AB2" s="310"/>
      <x:c r="AC2" s="261"/>
    </x:row>
    <x:row r="3">
      <x:c r="A3" s="195"/>
      <x:c r="B3" s="195"/>
      <x:c r="C3" s="195"/>
      <x:c r="D3" s="195"/>
      <x:c r="E3" s="195"/>
      <x:c r="F3" s="195"/>
      <x:c r="G3" s="195"/>
      <x:c r="H3" s="195"/>
      <x:c r="I3" s="195"/>
      <x:c r="J3" s="195"/>
      <x:c r="K3" s="195"/>
      <x:c r="L3" s="195"/>
      <x:c r="M3" s="195"/>
      <x:c r="N3" s="195"/>
      <x:c r="O3" s="195"/>
      <x:c r="P3" s="195"/>
      <x:c r="Q3" s="195"/>
      <x:c r="R3" s="195"/>
      <x:c r="S3" s="195"/>
      <x:c r="T3" s="195"/>
      <x:c r="U3" s="195"/>
      <x:c r="V3" s="195"/>
      <x:c r="W3" s="195"/>
      <x:c r="X3" s="195"/>
      <x:c r="Y3" s="195"/>
      <x:c r="Z3" s="195"/>
      <x:c r="AA3" s="195"/>
      <x:c r="AB3" s="195"/>
      <x:c r="AC3" s="195"/>
    </x:row>
    <x:row r="4" ht="24" customHeight="1">
      <x:c r="A4" s="320" t="str">
        <x:v>Entity / technology</x:v>
      </x:c>
      <x:c r="B4" s="320" t="str">
        <x:v>Family</x:v>
      </x:c>
      <x:c r="C4" s="320" t="str">
        <x:v>2016</x:v>
      </x:c>
      <x:c r="D4" s="320" t="str">
        <x:v>2017</x:v>
      </x:c>
      <x:c r="E4" s="320" t="str">
        <x:v>2018</x:v>
      </x:c>
      <x:c r="F4" s="320" t="str">
        <x:v>2019</x:v>
      </x:c>
      <x:c r="G4" s="320" t="str">
        <x:v>2020</x:v>
      </x:c>
      <x:c r="H4" s="320" t="str">
        <x:v>2021</x:v>
      </x:c>
      <x:c r="I4" s="320" t="str">
        <x:v>2022</x:v>
      </x:c>
      <x:c r="J4" s="320" t="str">
        <x:v>2023</x:v>
      </x:c>
      <x:c r="K4" s="320" t="str">
        <x:v>2024</x:v>
      </x:c>
      <x:c r="L4" s="320" t="str">
        <x:v>2025</x:v>
      </x:c>
      <x:c r="M4" s="320" t="str">
        <x:v>Years featured</x:v>
      </x:c>
      <x:c r="N4" s="320" t="str">
        <x:v>First seen</x:v>
      </x:c>
      <x:c r="O4" s="320" t="str">
        <x:v>Last seen</x:v>
      </x:c>
      <x:c r="P4" s="320" t="str">
        <x:v>Flagship outcome</x:v>
      </x:c>
      <x:c r="Q4" s="320" t="str">
        <x:v>2026 market outcome</x:v>
      </x:c>
      <x:c r="R4" s="320" t="str">
        <x:v>Outcome note</x:v>
      </x:c>
      <x:c r="S4" s="320" t="str">
        <x:v>Related / successor</x:v>
      </x:c>
      <x:c r="T4" s="321" t="str">
        <x:v>First appearance phase</x:v>
      </x:c>
      <x:c r="U4" s="321" t="str">
        <x:v>Initial adoption score</x:v>
      </x:c>
      <x:c r="V4" s="321" t="str">
        <x:v>Initial adoption band</x:v>
      </x:c>
      <x:c r="W4" s="321" t="str">
        <x:v>2026 adoption score</x:v>
      </x:c>
      <x:c r="X4" s="321" t="str">
        <x:v>2026 adoption band</x:v>
      </x:c>
      <x:c r="Y4" s="321" t="str">
        <x:v>Adoption uplift</x:v>
      </x:c>
      <x:c r="Z4" s="321" t="str">
        <x:v>Adoption trajectory</x:v>
      </x:c>
      <x:c r="AA4" s="321" t="str">
        <x:v>Confidence</x:v>
      </x:c>
      <x:c r="AB4" s="321" t="str">
        <x:v>Calibration / evidence URL</x:v>
      </x:c>
      <x:c r="AC4" s="321" t="str">
        <x:v>Adoption assessment note</x:v>
      </x:c>
    </x:row>
    <x:row r="5">
      <x:c r="A5" s="299" t="str">
        <x:v>3D Sensing Cameras</x:v>
      </x:c>
      <x:c r="B5" s="299" t="str">
        <x:v>Business / Emerging Technology</x:v>
      </x:c>
      <x:c r="C5" s="300" t="str"/>
      <x:c r="D5" s="300" t="str"/>
      <x:c r="E5" s="300" t="str"/>
      <x:c r="F5" s="300" t="str">
        <x:v>TD</x:v>
      </x:c>
      <x:c r="G5" s="300" t="str"/>
      <x:c r="H5" s="300" t="str"/>
      <x:c r="I5" s="300" t="str"/>
      <x:c r="J5" s="300" t="str"/>
      <x:c r="K5" s="300" t="str"/>
      <x:c r="L5" s="300" t="str"/>
      <x:c r="M5" s="300" t="n">
        <x:f>COUNTIF(C5:L5,"IT")+COUNTIF(C5:L5,"PE")+COUNTIF(C5:L5,"TD")+COUNTIF(C5:L5,"SE")+COUNTIF(C5:L5,"PP")</x:f>
        <x:v>1</x:v>
      </x:c>
      <x:c r="N5" s="300" t="n">
        <x:f>IF(C5&lt;&gt;"",2016,IF(D5&lt;&gt;"",2017,IF(E5&lt;&gt;"",2018,IF(F5&lt;&gt;"",2019,IF(G5&lt;&gt;"",2020,IF(H5&lt;&gt;"",2021,IF(I5&lt;&gt;"",2022,IF(J5&lt;&gt;"",2023,IF(K5&lt;&gt;"",2024,IF(L5&lt;&gt;"",2025,""))))))))))</x:f>
        <x:v>2019</x:v>
      </x:c>
      <x:c r="O5" s="300" t="n">
        <x:f>IF(L5&lt;&gt;"",2025,IF(K5&lt;&gt;"",2024,IF(J5&lt;&gt;"",2023,IF(I5&lt;&gt;"",2022,IF(H5&lt;&gt;"",2021,IF(G5&lt;&gt;"",2020,IF(F5&lt;&gt;"",2019,IF(E5&lt;&gt;"",2018,IF(D5&lt;&gt;"",2017,IF(C5&lt;&gt;"",2016,""))))))))))</x:f>
        <x:v>2019</x:v>
      </x:c>
      <x:c r="P5" s="299" t="str">
        <x:v>Exited flagship; may continue on specialist Hype Cycles</x:v>
      </x:c>
      <x:c r="Q5" s="299" t="str">
        <x:v>Established / specialist</x:v>
      </x:c>
      <x:c r="R5" s="299" t="str">
        <x:v>By 2026 there are credible production uses and vendors, but adoption is concentrated in particular workloads, industries or architectures rather than universal.</x:v>
      </x:c>
      <x:c r="S5" s="299" t="str"/>
      <x:c r="T5" s="300" t="str">
        <x:f>IFERROR(INDEX($C5:$L5,1,MATCH($N5,$C$4:$L$4,0)),"")</x:f>
        <x:v>TD</x:v>
      </x:c>
      <x:c r="U5" s="300" t="n">
        <x:f>IFERROR(VLOOKUP(T5,'Adoption Methodology'!$F$18:$G$22,2,FALSE),"")</x:f>
        <x:v>2</x:v>
      </x:c>
      <x:c r="V5" s="299" t="str">
        <x:f>IFERROR(VLOOKUP(U5,'Adoption Methodology'!$A$5:$C$10,3,FALSE),"")</x:f>
        <x:v>≈5–15% of relevant market; credible deployments but limited scale</x:v>
      </x:c>
      <x:c r="W5" s="300" t="n">
        <x:f>IFERROR(VLOOKUP(Q5,'Adoption Methodology'!$F$5:$H$12,2,FALSE),"")</x:f>
        <x:v>4</x:v>
      </x:c>
      <x:c r="X5" s="299" t="str">
        <x:f>IFERROR(VLOOKUP(W5,'Adoption Methodology'!$A$5:$C$10,3,FALSE),"")</x:f>
        <x:v>≈35–60% within the addressable segment; mature specialist use</x:v>
      </x:c>
      <x:c r="Y5" s="300" t="n">
        <x:f>IF(OR(U5="",W5=""),"",W5-U5)</x:f>
        <x:v>2</x:v>
      </x:c>
      <x:c r="Z5" s="299" t="str">
        <x:f>IF(Y5="","",IF(Y5&gt;0,"Adoption increased",IF(Y5=0,"Broadly unchanged","Adoption maturity lower")))</x:f>
        <x:v>Adoption increased</x:v>
      </x:c>
      <x:c r="AA5" s="300" t="str">
        <x:f>IFERROR(VLOOKUP(Q5,'Adoption Methodology'!$F$5:$H$12,3,FALSE),"Medium")</x:f>
        <x:v>High</x:v>
      </x:c>
      <x:c r="AB5" s="299" t="str">
        <x:f>IFERROR(VLOOKUP(A5,'Adoption Methodology'!$K$5:$L$14,2,FALSE),IFERROR(VLOOKUP(B5,'Adoption Methodology'!$N$5:$O$16,2,FALSE),"https://www.gartner.com/en/information-technology/technology-adoption-roadmaps"))</x:f>
        <x:v>https://www.gartner.com/en/information-technology/technology-adoption-roadmaps</x:v>
      </x:c>
      <x:c r="AC5" s="299" t="str">
        <x:f>IF(R5="","Modelled adoption maturity; see Adoption Methodology.",R5&amp;"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6">
      <x:c r="A6" s="299" t="str">
        <x:v>4D Printing</x:v>
      </x:c>
      <x:c r="B6" s="299" t="str">
        <x:v>Materials / Bio / Physical</x:v>
      </x:c>
      <x:c r="C6" s="300" t="str">
        <x:v>IT</x:v>
      </x:c>
      <x:c r="D6" s="300" t="str">
        <x:v>IT</x:v>
      </x:c>
      <x:c r="E6" s="300" t="str">
        <x:v>IT</x:v>
      </x:c>
      <x:c r="F6" s="300" t="str"/>
      <x:c r="G6" s="300" t="str"/>
      <x:c r="H6" s="300" t="str"/>
      <x:c r="I6" s="300" t="str"/>
      <x:c r="J6" s="300" t="str"/>
      <x:c r="K6" s="300" t="str"/>
      <x:c r="L6" s="300" t="str"/>
      <x:c r="M6" s="300" t="n">
        <x:f>COUNTIF(C6:L6,"IT")+COUNTIF(C6:L6,"PE")+COUNTIF(C6:L6,"TD")+COUNTIF(C6:L6,"SE")+COUNTIF(C6:L6,"PP")</x:f>
        <x:v>3</x:v>
      </x:c>
      <x:c r="N6" s="300" t="n">
        <x:f>IF(C6&lt;&gt;"",2016,IF(D6&lt;&gt;"",2017,IF(E6&lt;&gt;"",2018,IF(F6&lt;&gt;"",2019,IF(G6&lt;&gt;"",2020,IF(H6&lt;&gt;"",2021,IF(I6&lt;&gt;"",2022,IF(J6&lt;&gt;"",2023,IF(K6&lt;&gt;"",2024,IF(L6&lt;&gt;"",2025,""))))))))))</x:f>
        <x:v>2016</x:v>
      </x:c>
      <x:c r="O6" s="300" t="n">
        <x:f>IF(L6&lt;&gt;"",2025,IF(K6&lt;&gt;"",2024,IF(J6&lt;&gt;"",2023,IF(I6&lt;&gt;"",2022,IF(H6&lt;&gt;"",2021,IF(G6&lt;&gt;"",2020,IF(F6&lt;&gt;"",2019,IF(E6&lt;&gt;"",2018,IF(D6&lt;&gt;"",2017,IF(C6&lt;&gt;"",2016,""))))))))))</x:f>
        <x:v>2018</x:v>
      </x:c>
      <x:c r="P6" s="299" t="str">
        <x:v>Exited flagship; may continue on specialist Hype Cycles</x:v>
      </x:c>
      <x:c r="Q6" s="299" t="str">
        <x:v>Still emerging / long-horizon</x:v>
      </x:c>
      <x:c r="R6" s="299" t="str">
        <x:v>By 2026 the technology remains emerging, research-heavy or constrained by economics, engineering, regulation or deployment scale.</x:v>
      </x:c>
      <x:c r="S6" s="299" t="str"/>
      <x:c r="T6" s="300" t="str">
        <x:f>IFERROR(INDEX($C6:$L6,1,MATCH($N6,$C$4:$L$4,0)),"")</x:f>
        <x:v>IT</x:v>
      </x:c>
      <x:c r="U6" s="300" t="n">
        <x:f>IFERROR(VLOOKUP(T6,'Adoption Methodology'!$F$18:$G$22,2,FALSE),"")</x:f>
        <x:v>1</x:v>
      </x:c>
      <x:c r="V6" s="299" t="str">
        <x:f>IFERROR(VLOOKUP(U6,'Adoption Methodology'!$A$5:$C$10,3,FALSE),"")</x:f>
        <x:v>≈1–5% of relevant market; prototypes, pilots or very early deployments</x:v>
      </x:c>
      <x:c r="W6" s="300" t="n">
        <x:f>IFERROR(VLOOKUP(Q6,'Adoption Methodology'!$F$5:$H$12,2,FALSE),"")</x:f>
        <x:v>1</x:v>
      </x:c>
      <x:c r="X6" s="299" t="str">
        <x:f>IFERROR(VLOOKUP(W6,'Adoption Methodology'!$A$5:$C$10,3,FALSE),"")</x:f>
        <x:v>≈1–5% of relevant market; prototypes, pilots or very early deployments</x:v>
      </x:c>
      <x:c r="Y6" s="300" t="n">
        <x:f>IF(OR(U6="",W6=""),"",W6-U6)</x:f>
        <x:v>0</x:v>
      </x:c>
      <x:c r="Z6" s="299" t="str">
        <x:f>IF(Y6="","",IF(Y6&gt;0,"Adoption increased",IF(Y6=0,"Broadly unchanged","Adoption maturity lower")))</x:f>
      </x:c>
      <x:c r="AA6" s="300" t="str">
        <x:f>IFERROR(VLOOKUP(Q6,'Adoption Methodology'!$F$5:$H$12,3,FALSE),"Medium")</x:f>
        <x:v>Medium</x:v>
      </x:c>
      <x:c r="AB6" s="299" t="str">
        <x:f>IFERROR(VLOOKUP(A6,'Adoption Methodology'!$K$5:$L$14,2,FALSE),IFERROR(VLOOKUP(B6,'Adoption Methodology'!$N$5:$O$16,2,FALSE),"https://www.gartner.com/en/information-technology/technology-adoption-roadmaps"))</x:f>
        <x:v>https://www.gartner.com/en/information-technology/technology-adoption-roadmaps</x:v>
      </x:c>
      <x:c r="AC6" s="299" t="str">
        <x:f>IF(R6="","Modelled adoption maturity; see Adoption Methodology.",R6&amp;"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7">
      <x:c r="A7" s="299" t="str">
        <x:v>5G</x:v>
      </x:c>
      <x:c r="B7" s="299" t="str">
        <x:v>Connectivity / Edge / IoT</x:v>
      </x:c>
      <x:c r="C7" s="300" t="str"/>
      <x:c r="D7" s="300" t="str">
        <x:v>IT</x:v>
      </x:c>
      <x:c r="E7" s="300" t="str">
        <x:v>IT</x:v>
      </x:c>
      <x:c r="F7" s="300" t="str">
        <x:v>PE</x:v>
      </x:c>
      <x:c r="G7" s="300" t="str"/>
      <x:c r="H7" s="300" t="str"/>
      <x:c r="I7" s="300" t="str"/>
      <x:c r="J7" s="300" t="str"/>
      <x:c r="K7" s="300" t="str"/>
      <x:c r="L7" s="300" t="str"/>
      <x:c r="M7" s="300" t="n">
        <x:f>COUNTIF(C7:L7,"IT")+COUNTIF(C7:L7,"PE")+COUNTIF(C7:L7,"TD")+COUNTIF(C7:L7,"SE")+COUNTIF(C7:L7,"PP")</x:f>
        <x:v>3</x:v>
      </x:c>
      <x:c r="N7" s="300" t="n">
        <x:f>IF(C7&lt;&gt;"",2016,IF(D7&lt;&gt;"",2017,IF(E7&lt;&gt;"",2018,IF(F7&lt;&gt;"",2019,IF(G7&lt;&gt;"",2020,IF(H7&lt;&gt;"",2021,IF(I7&lt;&gt;"",2022,IF(J7&lt;&gt;"",2023,IF(K7&lt;&gt;"",2024,IF(L7&lt;&gt;"",2025,""))))))))))</x:f>
        <x:v>2017</x:v>
      </x:c>
      <x:c r="O7" s="300" t="n">
        <x:f>IF(L7&lt;&gt;"",2025,IF(K7&lt;&gt;"",2024,IF(J7&lt;&gt;"",2023,IF(I7&lt;&gt;"",2022,IF(H7&lt;&gt;"",2021,IF(G7&lt;&gt;"",2020,IF(F7&lt;&gt;"",2019,IF(E7&lt;&gt;"",2018,IF(D7&lt;&gt;"",2017,IF(C7&lt;&gt;"",2016,""))))))))))</x:f>
        <x:v>2019</x:v>
      </x:c>
      <x:c r="P7" s="299" t="str">
        <x:v>Exited flagship; may continue on specialist Hype Cycles</x:v>
      </x:c>
      <x:c r="Q7" s="299" t="str">
        <x:v>Established / mainstream</x:v>
      </x:c>
      <x:c r="R7" s="299" t="str">
        <x:v>By 2026 this capability is commercially established or embedded in mainstream enterprise/consumer technology, even if the original Gartner label is no longer prominent.</x:v>
      </x:c>
      <x:c r="S7" s="299" t="str"/>
      <x:c r="T7" s="300" t="str">
        <x:f>IFERROR(INDEX($C7:$L7,1,MATCH($N7,$C$4:$L$4,0)),"")</x:f>
        <x:v>IT</x:v>
      </x:c>
      <x:c r="U7" s="300" t="n">
        <x:f>IFERROR(VLOOKUP(T7,'Adoption Methodology'!$F$18:$G$22,2,FALSE),"")</x:f>
        <x:v>1</x:v>
      </x:c>
      <x:c r="V7" s="299" t="str">
        <x:f>IFERROR(VLOOKUP(U7,'Adoption Methodology'!$A$5:$C$10,3,FALSE),"")</x:f>
        <x:v>≈1–5% of relevant market; prototypes, pilots or very early deployments</x:v>
      </x:c>
      <x:c r="W7" s="300" t="n">
        <x:f>IFERROR(VLOOKUP(Q7,'Adoption Methodology'!$F$5:$H$12,2,FALSE),"")</x:f>
        <x:v>5</x:v>
      </x:c>
      <x:c r="X7" s="299" t="str">
        <x:f>IFERROR(VLOOKUP(W7,'Adoption Methodology'!$A$5:$C$10,3,FALSE),"")</x:f>
        <x:v>&gt;60% in leading/addressable segments, or effectively a standard/default capability</x:v>
      </x:c>
      <x:c r="Y7" s="300" t="n">
        <x:f>IF(OR(U7="",W7=""),"",W7-U7)</x:f>
        <x:v>4</x:v>
      </x:c>
      <x:c r="Z7" s="299" t="str">
        <x:f>IF(Y7="","",IF(Y7&gt;0,"Adoption increased",IF(Y7=0,"Broadly unchanged","Adoption maturity lower")))</x:f>
        <x:v>Adoption increased</x:v>
      </x:c>
      <x:c r="AA7" s="300" t="str">
        <x:f>IFERROR(VLOOKUP(Q7,'Adoption Methodology'!$F$5:$H$12,3,FALSE),"Medium")</x:f>
        <x:v>High</x:v>
      </x:c>
      <x:c r="AB7" s="299" t="str">
        <x:f>IFERROR(VLOOKUP(A7,'Adoption Methodology'!$K$5:$L$14,2,FALSE),IFERROR(VLOOKUP(B7,'Adoption Methodology'!$N$5:$O$16,2,FALSE),"https://www.gartner.com/en/information-technology/technology-adoption-roadmaps"))</x:f>
        <x:v>https://www.gsma.com/solutions-and-impact/connectivity-for-good/public-policy/wp-content/uploads/2025/10/GSMA-EMF-Forum-2025-slides.pdf</x:v>
      </x:c>
      <x:c r="AC7" s="299" t="str">
        <x:f>IF(R7="","Modelled adoption maturity; see Adoption Methodology.",R7&amp;"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8">
      <x:c r="A8" s="299" t="str">
        <x:v>6G</x:v>
      </x:c>
      <x:c r="B8" s="299" t="str">
        <x:v>Connectivity / Edge / IoT</x:v>
      </x:c>
      <x:c r="C8" s="300" t="str"/>
      <x:c r="D8" s="300" t="str"/>
      <x:c r="E8" s="300" t="str"/>
      <x:c r="F8" s="300" t="str"/>
      <x:c r="G8" s="300" t="str"/>
      <x:c r="H8" s="300" t="str"/>
      <x:c r="I8" s="300" t="str"/>
      <x:c r="J8" s="300" t="str"/>
      <x:c r="K8" s="300" t="str">
        <x:v>IT</x:v>
      </x:c>
      <x:c r="L8" s="300" t="str"/>
      <x:c r="M8" s="300" t="n">
        <x:f>COUNTIF(C8:L8,"IT")+COUNTIF(C8:L8,"PE")+COUNTIF(C8:L8,"TD")+COUNTIF(C8:L8,"SE")+COUNTIF(C8:L8,"PP")</x:f>
        <x:v>1</x:v>
      </x:c>
      <x:c r="N8" s="300" t="n">
        <x:f>IF(C8&lt;&gt;"",2016,IF(D8&lt;&gt;"",2017,IF(E8&lt;&gt;"",2018,IF(F8&lt;&gt;"",2019,IF(G8&lt;&gt;"",2020,IF(H8&lt;&gt;"",2021,IF(I8&lt;&gt;"",2022,IF(J8&lt;&gt;"",2023,IF(K8&lt;&gt;"",2024,IF(L8&lt;&gt;"",2025,""))))))))))</x:f>
        <x:v>2024</x:v>
      </x:c>
      <x:c r="O8" s="300" t="n">
        <x:f>IF(L8&lt;&gt;"",2025,IF(K8&lt;&gt;"",2024,IF(J8&lt;&gt;"",2023,IF(I8&lt;&gt;"",2022,IF(H8&lt;&gt;"",2021,IF(G8&lt;&gt;"",2020,IF(F8&lt;&gt;"",2019,IF(E8&lt;&gt;"",2018,IF(D8&lt;&gt;"",2017,IF(C8&lt;&gt;"",2016,""))))))))))</x:f>
        <x:v>2024</x:v>
      </x:c>
      <x:c r="P8" s="299" t="str">
        <x:v>Exited flagship; may continue on specialist Hype Cycles</x:v>
      </x:c>
      <x:c r="Q8" s="299" t="str">
        <x:v>Still emerging / evolving</x:v>
      </x:c>
      <x:c r="R8" s="299" t="str">
        <x:v>By 2026 the category is still evolving quickly; commercial adoption exists or is beginning, but maturity and durable ROI vary significantly.</x:v>
      </x:c>
      <x:c r="S8" s="299" t="str"/>
      <x:c r="T8" s="300" t="str">
        <x:f>IFERROR(INDEX($C8:$L8,1,MATCH($N8,$C$4:$L$4,0)),"")</x:f>
        <x:v>IT</x:v>
      </x:c>
      <x:c r="U8" s="300" t="n">
        <x:f>IFERROR(VLOOKUP(T8,'Adoption Methodology'!$F$18:$G$22,2,FALSE),"")</x:f>
        <x:v>1</x:v>
      </x:c>
      <x:c r="V8" s="299" t="str">
        <x:f>IFERROR(VLOOKUP(U8,'Adoption Methodology'!$A$5:$C$10,3,FALSE),"")</x:f>
        <x:v>≈1–5% of relevant market; prototypes, pilots or very early deployments</x:v>
      </x:c>
      <x:c r="W8" s="300" t="n">
        <x:f>IFERROR(VLOOKUP(Q8,'Adoption Methodology'!$F$5:$H$12,2,FALSE),"")</x:f>
        <x:v>2</x:v>
      </x:c>
      <x:c r="X8" s="299" t="str">
        <x:f>IFERROR(VLOOKUP(W8,'Adoption Methodology'!$A$5:$C$10,3,FALSE),"")</x:f>
        <x:v>≈5–15% of relevant market; credible deployments but limited scale</x:v>
      </x:c>
      <x:c r="Y8" s="300" t="n">
        <x:f>IF(OR(U8="",W8=""),"",W8-U8)</x:f>
        <x:v>1</x:v>
      </x:c>
      <x:c r="Z8" s="299" t="str">
        <x:f>IF(Y8="","",IF(Y8&gt;0,"Adoption increased",IF(Y8=0,"Broadly unchanged","Adoption maturity lower")))</x:f>
        <x:v>Adoption increased</x:v>
      </x:c>
      <x:c r="AA8" s="300" t="str">
        <x:f>IFERROR(VLOOKUP(Q8,'Adoption Methodology'!$F$5:$H$12,3,FALSE),"Medium")</x:f>
        <x:v>Medium</x:v>
      </x:c>
      <x:c r="AB8" s="299" t="str">
        <x:f>IFERROR(VLOOKUP(A8,'Adoption Methodology'!$K$5:$L$14,2,FALSE),IFERROR(VLOOKUP(B8,'Adoption Methodology'!$N$5:$O$16,2,FALSE),"https://www.gartner.com/en/information-technology/technology-adoption-roadmaps"))</x:f>
        <x:v>https://www.gsma.com/about-us/regions/europe/gsma_resources/the-mobile-economy-2026/</x:v>
      </x:c>
      <x:c r="AC8" s="299" t="str">
        <x:f>IF(R8="","Modelled adoption maturity; see Adoption Methodology.",R8&amp;"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9">
      <x:c r="A9" s="299" t="str">
        <x:v>802.11ax</x:v>
      </x:c>
      <x:c r="B9" s="299" t="str">
        <x:v>Connectivity / Edge / IoT</x:v>
      </x:c>
      <x:c r="C9" s="300" t="str">
        <x:v>IT</x:v>
      </x:c>
      <x:c r="D9" s="300" t="str"/>
      <x:c r="E9" s="300" t="str"/>
      <x:c r="F9" s="300" t="str"/>
      <x:c r="G9" s="300" t="str"/>
      <x:c r="H9" s="300" t="str"/>
      <x:c r="I9" s="300" t="str"/>
      <x:c r="J9" s="300" t="str"/>
      <x:c r="K9" s="300" t="str"/>
      <x:c r="L9" s="300" t="str"/>
      <x:c r="M9" s="300" t="n">
        <x:f>COUNTIF(C9:L9,"IT")+COUNTIF(C9:L9,"PE")+COUNTIF(C9:L9,"TD")+COUNTIF(C9:L9,"SE")+COUNTIF(C9:L9,"PP")</x:f>
        <x:v>1</x:v>
      </x:c>
      <x:c r="N9" s="300" t="n">
        <x:f>IF(C9&lt;&gt;"",2016,IF(D9&lt;&gt;"",2017,IF(E9&lt;&gt;"",2018,IF(F9&lt;&gt;"",2019,IF(G9&lt;&gt;"",2020,IF(H9&lt;&gt;"",2021,IF(I9&lt;&gt;"",2022,IF(J9&lt;&gt;"",2023,IF(K9&lt;&gt;"",2024,IF(L9&lt;&gt;"",2025,""))))))))))</x:f>
        <x:v>2016</x:v>
      </x:c>
      <x:c r="O9" s="300" t="n">
        <x:f>IF(L9&lt;&gt;"",2025,IF(K9&lt;&gt;"",2024,IF(J9&lt;&gt;"",2023,IF(I9&lt;&gt;"",2022,IF(H9&lt;&gt;"",2021,IF(G9&lt;&gt;"",2020,IF(F9&lt;&gt;"",2019,IF(E9&lt;&gt;"",2018,IF(D9&lt;&gt;"",2017,IF(C9&lt;&gt;"",2016,""))))))))))</x:f>
        <x:v>2016</x:v>
      </x:c>
      <x:c r="P9" s="299" t="str">
        <x:v>Exited flagship; may continue on specialist Hype Cycles</x:v>
      </x:c>
      <x:c r="Q9" s="299" t="str">
        <x:v>Established / mainstream</x:v>
      </x:c>
      <x:c r="R9" s="299" t="str">
        <x:v>By 2026 this capability is commercially established or embedded in mainstream enterprise/consumer technology, even if the original Gartner label is no longer prominent.</x:v>
      </x:c>
      <x:c r="S9" s="299" t="str"/>
      <x:c r="T9" s="300" t="str">
        <x:f>IFERROR(INDEX($C9:$L9,1,MATCH($N9,$C$4:$L$4,0)),"")</x:f>
        <x:v>IT</x:v>
      </x:c>
      <x:c r="U9" s="300" t="n">
        <x:f>IFERROR(VLOOKUP(T9,'Adoption Methodology'!$F$18:$G$22,2,FALSE),"")</x:f>
        <x:v>1</x:v>
      </x:c>
      <x:c r="V9" s="299" t="str">
        <x:f>IFERROR(VLOOKUP(U9,'Adoption Methodology'!$A$5:$C$10,3,FALSE),"")</x:f>
        <x:v>≈1–5% of relevant market; prototypes, pilots or very early deployments</x:v>
      </x:c>
      <x:c r="W9" s="300" t="n">
        <x:f>IFERROR(VLOOKUP(Q9,'Adoption Methodology'!$F$5:$H$12,2,FALSE),"")</x:f>
        <x:v>5</x:v>
      </x:c>
      <x:c r="X9" s="299" t="str">
        <x:f>IFERROR(VLOOKUP(W9,'Adoption Methodology'!$A$5:$C$10,3,FALSE),"")</x:f>
        <x:v>&gt;60% in leading/addressable segments, or effectively a standard/default capability</x:v>
      </x:c>
      <x:c r="Y9" s="300" t="n">
        <x:f>IF(OR(U9="",W9=""),"",W9-U9)</x:f>
        <x:v>4</x:v>
      </x:c>
      <x:c r="Z9" s="299" t="str">
        <x:f>IF(Y9="","",IF(Y9&gt;0,"Adoption increased",IF(Y9=0,"Broadly unchanged","Adoption maturity lower")))</x:f>
        <x:v>Adoption increased</x:v>
      </x:c>
      <x:c r="AA9" s="300" t="str">
        <x:f>IFERROR(VLOOKUP(Q9,'Adoption Methodology'!$F$5:$H$12,3,FALSE),"Medium")</x:f>
        <x:v>High</x:v>
      </x:c>
      <x:c r="AB9" s="299" t="str">
        <x:f>IFERROR(VLOOKUP(A9,'Adoption Methodology'!$K$5:$L$14,2,FALSE),IFERROR(VLOOKUP(B9,'Adoption Methodology'!$N$5:$O$16,2,FALSE),"https://www.gartner.com/en/information-technology/technology-adoption-roadmaps"))</x:f>
        <x:v>https://www.gsma.com/about-us/regions/europe/gsma_resources/the-mobile-economy-2026/</x:v>
      </x:c>
      <x:c r="AC9" s="299" t="str">
        <x:f>IF(R9="","Modelled adoption maturity; see Adoption Methodology.",R9&amp;"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0">
      <x:c r="A10" s="299" t="str">
        <x:v>Active Metadata Management</x:v>
      </x:c>
      <x:c r="B10" s="299" t="str">
        <x:v>Business / Emerging Technology</x:v>
      </x:c>
      <x:c r="C10" s="300" t="str"/>
      <x:c r="D10" s="300" t="str"/>
      <x:c r="E10" s="300" t="str"/>
      <x:c r="F10" s="300" t="str"/>
      <x:c r="G10" s="300" t="str"/>
      <x:c r="H10" s="300" t="str">
        <x:v>IT</x:v>
      </x:c>
      <x:c r="I10" s="300" t="str"/>
      <x:c r="J10" s="300" t="str"/>
      <x:c r="K10" s="300" t="str"/>
      <x:c r="L10" s="300" t="str"/>
      <x:c r="M10" s="300" t="n">
        <x:f>COUNTIF(C10:L10,"IT")+COUNTIF(C10:L10,"PE")+COUNTIF(C10:L10,"TD")+COUNTIF(C10:L10,"SE")+COUNTIF(C10:L10,"PP")</x:f>
        <x:v>1</x:v>
      </x:c>
      <x:c r="N10" s="300" t="n">
        <x:f>IF(C10&lt;&gt;"",2016,IF(D10&lt;&gt;"",2017,IF(E10&lt;&gt;"",2018,IF(F10&lt;&gt;"",2019,IF(G10&lt;&gt;"",2020,IF(H10&lt;&gt;"",2021,IF(I10&lt;&gt;"",2022,IF(J10&lt;&gt;"",2023,IF(K10&lt;&gt;"",2024,IF(L10&lt;&gt;"",2025,""))))))))))</x:f>
        <x:v>2021</x:v>
      </x:c>
      <x:c r="O10" s="300" t="n">
        <x:f>IF(L10&lt;&gt;"",2025,IF(K10&lt;&gt;"",2024,IF(J10&lt;&gt;"",2023,IF(I10&lt;&gt;"",2022,IF(H10&lt;&gt;"",2021,IF(G10&lt;&gt;"",2020,IF(F10&lt;&gt;"",2019,IF(E10&lt;&gt;"",2018,IF(D10&lt;&gt;"",2017,IF(C10&lt;&gt;"",2016,""))))))))))</x:f>
        <x:v>2021</x:v>
      </x:c>
      <x:c r="P10" s="299" t="str">
        <x:v>Exited flagship; may continue on specialist Hype Cycles</x:v>
      </x:c>
      <x:c r="Q10" s="299" t="str">
        <x:v>Established / mainstream</x:v>
      </x:c>
      <x:c r="R10" s="299" t="str">
        <x:v>By 2026 this capability is commercially established or embedded in mainstream enterprise/consumer technology, even if the original Gartner label is no longer prominent.</x:v>
      </x:c>
      <x:c r="S10" s="299" t="str"/>
      <x:c r="T10" s="300" t="str">
        <x:f>IFERROR(INDEX($C10:$L10,1,MATCH($N10,$C$4:$L$4,0)),"")</x:f>
        <x:v>IT</x:v>
      </x:c>
      <x:c r="U10" s="300" t="n">
        <x:f>IFERROR(VLOOKUP(T10,'Adoption Methodology'!$F$18:$G$22,2,FALSE),"")</x:f>
        <x:v>1</x:v>
      </x:c>
      <x:c r="V10" s="299" t="str">
        <x:f>IFERROR(VLOOKUP(U10,'Adoption Methodology'!$A$5:$C$10,3,FALSE),"")</x:f>
        <x:v>≈1–5% of relevant market; prototypes, pilots or very early deployments</x:v>
      </x:c>
      <x:c r="W10" s="300" t="n">
        <x:f>IFERROR(VLOOKUP(Q10,'Adoption Methodology'!$F$5:$H$12,2,FALSE),"")</x:f>
        <x:v>5</x:v>
      </x:c>
      <x:c r="X10" s="299" t="str">
        <x:f>IFERROR(VLOOKUP(W10,'Adoption Methodology'!$A$5:$C$10,3,FALSE),"")</x:f>
        <x:v>&gt;60% in leading/addressable segments, or effectively a standard/default capability</x:v>
      </x:c>
      <x:c r="Y10" s="300" t="n">
        <x:f>IF(OR(U10="",W10=""),"",W10-U10)</x:f>
        <x:v>4</x:v>
      </x:c>
      <x:c r="Z10" s="299" t="str">
        <x:f>IF(Y10="","",IF(Y10&gt;0,"Adoption increased",IF(Y10=0,"Broadly unchanged","Adoption maturity lower")))</x:f>
        <x:v>Adoption increased</x:v>
      </x:c>
      <x:c r="AA10" s="300" t="str">
        <x:f>IFERROR(VLOOKUP(Q10,'Adoption Methodology'!$F$5:$H$12,3,FALSE),"Medium")</x:f>
        <x:v>High</x:v>
      </x:c>
      <x:c r="AB10" s="299" t="str">
        <x:f>IFERROR(VLOOKUP(A10,'Adoption Methodology'!$K$5:$L$14,2,FALSE),IFERROR(VLOOKUP(B10,'Adoption Methodology'!$N$5:$O$16,2,FALSE),"https://www.gartner.com/en/information-technology/technology-adoption-roadmaps"))</x:f>
        <x:v>https://www.gartner.com/en/information-technology/technology-adoption-roadmaps</x:v>
      </x:c>
      <x:c r="AC10" s="299" t="str">
        <x:f>IF(R10="","Modelled adoption maturity; see Adoption Methodology.",R10&amp;"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1">
      <x:c r="A11" s="299" t="str">
        <x:v>Adaptive Experiences</x:v>
      </x:c>
      <x:c r="B11" s="299" t="str">
        <x:v>Business / Emerging Technology</x:v>
      </x:c>
      <x:c r="C11" s="300" t="str"/>
      <x:c r="D11" s="300" t="str"/>
      <x:c r="E11" s="300" t="str"/>
      <x:c r="F11" s="300" t="str"/>
      <x:c r="G11" s="300" t="str"/>
      <x:c r="H11" s="300" t="str"/>
      <x:c r="I11" s="300" t="str"/>
      <x:c r="J11" s="300" t="str"/>
      <x:c r="K11" s="300" t="str"/>
      <x:c r="L11" s="300" t="str">
        <x:v>IT</x:v>
      </x:c>
      <x:c r="M11" s="300" t="n">
        <x:f>COUNTIF(C11:L11,"IT")+COUNTIF(C11:L11,"PE")+COUNTIF(C11:L11,"TD")+COUNTIF(C11:L11,"SE")+COUNTIF(C11:L11,"PP")</x:f>
        <x:v>1</x:v>
      </x:c>
      <x:c r="N11" s="300" t="n">
        <x:f>IF(C11&lt;&gt;"",2016,IF(D11&lt;&gt;"",2017,IF(E11&lt;&gt;"",2018,IF(F11&lt;&gt;"",2019,IF(G11&lt;&gt;"",2020,IF(H11&lt;&gt;"",2021,IF(I11&lt;&gt;"",2022,IF(J11&lt;&gt;"",2023,IF(K11&lt;&gt;"",2024,IF(L11&lt;&gt;"",2025,""))))))))))</x:f>
        <x:v>2025</x:v>
      </x:c>
      <x:c r="O11" s="300" t="n">
        <x:f>IF(L11&lt;&gt;"",2025,IF(K11&lt;&gt;"",2024,IF(J11&lt;&gt;"",2023,IF(I11&lt;&gt;"",2022,IF(H11&lt;&gt;"",2021,IF(G11&lt;&gt;"",2020,IF(F11&lt;&gt;"",2019,IF(E11&lt;&gt;"",2018,IF(D11&lt;&gt;"",2017,IF(C11&lt;&gt;"",2016,""))))))))))</x:f>
        <x:v>2025</x:v>
      </x:c>
      <x:c r="P11" s="299" t="str">
        <x:v>Still on the 2025 flagship</x:v>
      </x:c>
      <x:c r="Q11" s="299" t="str">
        <x:v>Still emerging / evolving</x:v>
      </x:c>
      <x:c r="R11" s="299" t="str">
        <x:v>By 2026 the category is still evolving quickly; commercial adoption exists or is beginning, but maturity and durable ROI vary significantly.</x:v>
      </x:c>
      <x:c r="S11" s="299" t="str"/>
      <x:c r="T11" s="300" t="str">
        <x:f>IFERROR(INDEX($C11:$L11,1,MATCH($N11,$C$4:$L$4,0)),"")</x:f>
        <x:v>IT</x:v>
      </x:c>
      <x:c r="U11" s="300" t="n">
        <x:f>IFERROR(VLOOKUP(T11,'Adoption Methodology'!$F$18:$G$22,2,FALSE),"")</x:f>
        <x:v>1</x:v>
      </x:c>
      <x:c r="V11" s="299" t="str">
        <x:f>IFERROR(VLOOKUP(U11,'Adoption Methodology'!$A$5:$C$10,3,FALSE),"")</x:f>
        <x:v>≈1–5% of relevant market; prototypes, pilots or very early deployments</x:v>
      </x:c>
      <x:c r="W11" s="300" t="n">
        <x:f>IFERROR(VLOOKUP(Q11,'Adoption Methodology'!$F$5:$H$12,2,FALSE),"")</x:f>
        <x:v>2</x:v>
      </x:c>
      <x:c r="X11" s="299" t="str">
        <x:f>IFERROR(VLOOKUP(W11,'Adoption Methodology'!$A$5:$C$10,3,FALSE),"")</x:f>
        <x:v>≈5–15% of relevant market; credible deployments but limited scale</x:v>
      </x:c>
      <x:c r="Y11" s="300" t="n">
        <x:f>IF(OR(U11="",W11=""),"",W11-U11)</x:f>
        <x:v>1</x:v>
      </x:c>
      <x:c r="Z11" s="299" t="str">
        <x:f>IF(Y11="","",IF(Y11&gt;0,"Adoption increased",IF(Y11=0,"Broadly unchanged","Adoption maturity lower")))</x:f>
        <x:v>Adoption increased</x:v>
      </x:c>
      <x:c r="AA11" s="300" t="str">
        <x:f>IFERROR(VLOOKUP(Q11,'Adoption Methodology'!$F$5:$H$12,3,FALSE),"Medium")</x:f>
        <x:v>Medium</x:v>
      </x:c>
      <x:c r="AB11" s="299" t="str">
        <x:f>IFERROR(VLOOKUP(A11,'Adoption Methodology'!$K$5:$L$14,2,FALSE),IFERROR(VLOOKUP(B11,'Adoption Methodology'!$N$5:$O$16,2,FALSE),"https://www.gartner.com/en/information-technology/technology-adoption-roadmaps"))</x:f>
        <x:v>https://www.gartner.com/en/information-technology/technology-adoption-roadmaps</x:v>
      </x:c>
      <x:c r="AC11" s="299" t="str">
        <x:f>IF(R11="","Modelled adoption maturity; see Adoption Methodology.",R11&amp;"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2">
      <x:c r="A12" s="299" t="str">
        <x:v>Adaptive ML</x:v>
      </x:c>
      <x:c r="B12" s="299" t="str">
        <x:v>Business / Emerging Technology</x:v>
      </x:c>
      <x:c r="C12" s="300" t="str"/>
      <x:c r="D12" s="300" t="str"/>
      <x:c r="E12" s="300" t="str"/>
      <x:c r="F12" s="300" t="str">
        <x:v>IT</x:v>
      </x:c>
      <x:c r="G12" s="300" t="str">
        <x:v>IT</x:v>
      </x:c>
      <x:c r="H12" s="300" t="str"/>
      <x:c r="I12" s="300" t="str"/>
      <x:c r="J12" s="300" t="str"/>
      <x:c r="K12" s="300" t="str"/>
      <x:c r="L12" s="300" t="str"/>
      <x:c r="M12" s="300" t="n">
        <x:f>COUNTIF(C12:L12,"IT")+COUNTIF(C12:L12,"PE")+COUNTIF(C12:L12,"TD")+COUNTIF(C12:L12,"SE")+COUNTIF(C12:L12,"PP")</x:f>
        <x:v>2</x:v>
      </x:c>
      <x:c r="N12" s="300" t="n">
        <x:f>IF(C12&lt;&gt;"",2016,IF(D12&lt;&gt;"",2017,IF(E12&lt;&gt;"",2018,IF(F12&lt;&gt;"",2019,IF(G12&lt;&gt;"",2020,IF(H12&lt;&gt;"",2021,IF(I12&lt;&gt;"",2022,IF(J12&lt;&gt;"",2023,IF(K12&lt;&gt;"",2024,IF(L12&lt;&gt;"",2025,""))))))))))</x:f>
        <x:v>2019</x:v>
      </x:c>
      <x:c r="O12" s="300" t="n">
        <x:f>IF(L12&lt;&gt;"",2025,IF(K12&lt;&gt;"",2024,IF(J12&lt;&gt;"",2023,IF(I12&lt;&gt;"",2022,IF(H12&lt;&gt;"",2021,IF(G12&lt;&gt;"",2020,IF(F12&lt;&gt;"",2019,IF(E12&lt;&gt;"",2018,IF(D12&lt;&gt;"",2017,IF(C12&lt;&gt;"",2016,""))))))))))</x:f>
        <x:v>2020</x:v>
      </x:c>
      <x:c r="P12" s="299" t="str">
        <x:v>Exited flagship; may continue on specialist Hype Cycles</x:v>
      </x:c>
      <x:c r="Q12" s="299" t="str">
        <x:v>Superseded / absorbed</x:v>
      </x:c>
      <x:c r="R12" s="299" t="str">
        <x:v>The concept largely survives inside broader platforms, successor terminology or more specific technology categories rather than as a standalone label.</x:v>
      </x:c>
      <x:c r="S12" s="299" t="str"/>
      <x:c r="T12" s="300" t="str">
        <x:f>IFERROR(INDEX($C12:$L12,1,MATCH($N12,$C$4:$L$4,0)),"")</x:f>
        <x:v>IT</x:v>
      </x:c>
      <x:c r="U12" s="300" t="n">
        <x:f>IFERROR(VLOOKUP(T12,'Adoption Methodology'!$F$18:$G$22,2,FALSE),"")</x:f>
        <x:v>1</x:v>
      </x:c>
      <x:c r="V12" s="299" t="str">
        <x:f>IFERROR(VLOOKUP(U12,'Adoption Methodology'!$A$5:$C$10,3,FALSE),"")</x:f>
        <x:v>≈1–5% of relevant market; prototypes, pilots or very early deployments</x:v>
      </x:c>
      <x:c r="W12" s="300" t="n">
        <x:f>IFERROR(VLOOKUP(Q12,'Adoption Methodology'!$F$5:$H$12,2,FALSE),"")</x:f>
        <x:v>3</x:v>
      </x:c>
      <x:c r="X12" s="299" t="str">
        <x:f>IFERROR(VLOOKUP(W12,'Adoption Methodology'!$A$5:$C$10,3,FALSE),"")</x:f>
        <x:v>≈15–35% of relevant market, or capability absorbed into successor platforms</x:v>
      </x:c>
      <x:c r="Y12" s="300" t="n">
        <x:f>IF(OR(U12="",W12=""),"",W12-U12)</x:f>
        <x:v>2</x:v>
      </x:c>
      <x:c r="Z12" s="299" t="str">
        <x:f>IF(Y12="","",IF(Y12&gt;0,"Adoption increased",IF(Y12=0,"Broadly unchanged","Adoption maturity lower")))</x:f>
        <x:v>Adoption increased</x:v>
      </x:c>
      <x:c r="AA12" s="300" t="str">
        <x:f>IFERROR(VLOOKUP(Q12,'Adoption Methodology'!$F$5:$H$12,3,FALSE),"Medium")</x:f>
        <x:v>Medium-Low</x:v>
      </x:c>
      <x:c r="AB12" s="299" t="str">
        <x:f>IFERROR(VLOOKUP(A12,'Adoption Methodology'!$K$5:$L$14,2,FALSE),IFERROR(VLOOKUP(B12,'Adoption Methodology'!$N$5:$O$16,2,FALSE),"https://www.gartner.com/en/information-technology/technology-adoption-roadmaps"))</x:f>
        <x:v>https://www.gartner.com/en/information-technology/technology-adoption-roadmaps</x:v>
      </x:c>
      <x:c r="AC12" s="299" t="str">
        <x:f>IF(R12="","Modelled adoption maturity; see Adoption Methodology.",R12&amp;"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3">
      <x:c r="A13" s="299" t="str">
        <x:v>Affective Computing</x:v>
      </x:c>
      <x:c r="B13" s="299" t="str">
        <x:v>AI / Data / Analytics</x:v>
      </x:c>
      <x:c r="C13" s="300" t="str">
        <x:v>IT</x:v>
      </x:c>
      <x:c r="D13" s="300" t="str"/>
      <x:c r="E13" s="300" t="str"/>
      <x:c r="F13" s="300" t="str"/>
      <x:c r="G13" s="300" t="str"/>
      <x:c r="H13" s="300" t="str"/>
      <x:c r="I13" s="300" t="str"/>
      <x:c r="J13" s="300" t="str"/>
      <x:c r="K13" s="300" t="str"/>
      <x:c r="L13" s="300" t="str"/>
      <x:c r="M13" s="300" t="n">
        <x:f>COUNTIF(C13:L13,"IT")+COUNTIF(C13:L13,"PE")+COUNTIF(C13:L13,"TD")+COUNTIF(C13:L13,"SE")+COUNTIF(C13:L13,"PP")</x:f>
        <x:v>1</x:v>
      </x:c>
      <x:c r="N13" s="300" t="n">
        <x:f>IF(C13&lt;&gt;"",2016,IF(D13&lt;&gt;"",2017,IF(E13&lt;&gt;"",2018,IF(F13&lt;&gt;"",2019,IF(G13&lt;&gt;"",2020,IF(H13&lt;&gt;"",2021,IF(I13&lt;&gt;"",2022,IF(J13&lt;&gt;"",2023,IF(K13&lt;&gt;"",2024,IF(L13&lt;&gt;"",2025,""))))))))))</x:f>
        <x:v>2016</x:v>
      </x:c>
      <x:c r="O13" s="300" t="n">
        <x:f>IF(L13&lt;&gt;"",2025,IF(K13&lt;&gt;"",2024,IF(J13&lt;&gt;"",2023,IF(I13&lt;&gt;"",2022,IF(H13&lt;&gt;"",2021,IF(G13&lt;&gt;"",2020,IF(F13&lt;&gt;"",2019,IF(E13&lt;&gt;"",2018,IF(D13&lt;&gt;"",2017,IF(C13&lt;&gt;"",2016,""))))))))))</x:f>
        <x:v>2016</x:v>
      </x:c>
      <x:c r="P13" s="299" t="str">
        <x:v>Exited flagship; may continue on specialist Hype Cycles</x:v>
      </x:c>
      <x:c r="Q13" s="299" t="str">
        <x:v>Superseded / absorbed</x:v>
      </x:c>
      <x:c r="R13" s="299" t="str">
        <x:v>The concept largely survives inside broader platforms, successor terminology or more specific technology categories rather than as a standalone label.</x:v>
      </x:c>
      <x:c r="S13" s="299" t="str"/>
      <x:c r="T13" s="300" t="str">
        <x:f>IFERROR(INDEX($C13:$L13,1,MATCH($N13,$C$4:$L$4,0)),"")</x:f>
        <x:v>IT</x:v>
      </x:c>
      <x:c r="U13" s="300" t="n">
        <x:f>IFERROR(VLOOKUP(T13,'Adoption Methodology'!$F$18:$G$22,2,FALSE),"")</x:f>
        <x:v>1</x:v>
      </x:c>
      <x:c r="V13" s="299" t="str">
        <x:f>IFERROR(VLOOKUP(U13,'Adoption Methodology'!$A$5:$C$10,3,FALSE),"")</x:f>
        <x:v>≈1–5% of relevant market; prototypes, pilots or very early deployments</x:v>
      </x:c>
      <x:c r="W13" s="300" t="n">
        <x:f>IFERROR(VLOOKUP(Q13,'Adoption Methodology'!$F$5:$H$12,2,FALSE),"")</x:f>
        <x:v>3</x:v>
      </x:c>
      <x:c r="X13" s="299" t="str">
        <x:f>IFERROR(VLOOKUP(W13,'Adoption Methodology'!$A$5:$C$10,3,FALSE),"")</x:f>
        <x:v>≈15–35% of relevant market, or capability absorbed into successor platforms</x:v>
      </x:c>
      <x:c r="Y13" s="300" t="n">
        <x:f>IF(OR(U13="",W13=""),"",W13-U13)</x:f>
        <x:v>2</x:v>
      </x:c>
      <x:c r="Z13" s="299" t="str">
        <x:f>IF(Y13="","",IF(Y13&gt;0,"Adoption increased",IF(Y13=0,"Broadly unchanged","Adoption maturity lower")))</x:f>
        <x:v>Adoption increased</x:v>
      </x:c>
      <x:c r="AA13" s="300" t="str">
        <x:f>IFERROR(VLOOKUP(Q13,'Adoption Methodology'!$F$5:$H$12,3,FALSE),"Medium")</x:f>
        <x:v>Medium-Low</x:v>
      </x:c>
      <x:c r="AB13" s="299" t="str">
        <x:f>IFERROR(VLOOKUP(A13,'Adoption Methodology'!$K$5:$L$14,2,FALSE),IFERROR(VLOOKUP(B13,'Adoption Methodology'!$N$5:$O$16,2,FALSE),"https://www.gartner.com/en/information-technology/technology-adoption-roadmaps"))</x:f>
        <x:v>https://www.mckinsey.com/capabilities/quantumblack/our-insights/the-state-of-ai</x:v>
      </x:c>
      <x:c r="AC13" s="299" t="str">
        <x:f>IF(R13="","Modelled adoption maturity; see Adoption Methodology.",R13&amp;"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4">
      <x:c r="A14" s="299" t="str">
        <x:v>AI Agents</x:v>
      </x:c>
      <x:c r="B14" s="299" t="str">
        <x:v>Autonomy / Robotics</x:v>
      </x:c>
      <x:c r="C14" s="300" t="str"/>
      <x:c r="D14" s="300" t="str"/>
      <x:c r="E14" s="300" t="str"/>
      <x:c r="F14" s="300" t="str"/>
      <x:c r="G14" s="300" t="str"/>
      <x:c r="H14" s="300" t="str"/>
      <x:c r="I14" s="300" t="str"/>
      <x:c r="J14" s="300" t="str"/>
      <x:c r="K14" s="300" t="str"/>
      <x:c r="L14" s="300" t="str">
        <x:v>PE</x:v>
      </x:c>
      <x:c r="M14" s="300" t="n">
        <x:f>COUNTIF(C14:L14,"IT")+COUNTIF(C14:L14,"PE")+COUNTIF(C14:L14,"TD")+COUNTIF(C14:L14,"SE")+COUNTIF(C14:L14,"PP")</x:f>
        <x:v>1</x:v>
      </x:c>
      <x:c r="N14" s="300" t="n">
        <x:f>IF(C14&lt;&gt;"",2016,IF(D14&lt;&gt;"",2017,IF(E14&lt;&gt;"",2018,IF(F14&lt;&gt;"",2019,IF(G14&lt;&gt;"",2020,IF(H14&lt;&gt;"",2021,IF(I14&lt;&gt;"",2022,IF(J14&lt;&gt;"",2023,IF(K14&lt;&gt;"",2024,IF(L14&lt;&gt;"",2025,""))))))))))</x:f>
        <x:v>2025</x:v>
      </x:c>
      <x:c r="O14" s="300" t="n">
        <x:f>IF(L14&lt;&gt;"",2025,IF(K14&lt;&gt;"",2024,IF(J14&lt;&gt;"",2023,IF(I14&lt;&gt;"",2022,IF(H14&lt;&gt;"",2021,IF(G14&lt;&gt;"",2020,IF(F14&lt;&gt;"",2019,IF(E14&lt;&gt;"",2018,IF(D14&lt;&gt;"",2017,IF(C14&lt;&gt;"",2016,""))))))))))</x:f>
        <x:v>2025</x:v>
      </x:c>
      <x:c r="P14" s="299" t="str">
        <x:v>Still on the 2025 flagship</x:v>
      </x:c>
      <x:c r="Q14" s="299" t="str">
        <x:v>Still emerging / evolving</x:v>
      </x:c>
      <x:c r="R14" s="299" t="str">
        <x:v>By 2026 the category is still evolving quickly; commercial adoption exists or is beginning, but maturity and durable ROI vary significantly.</x:v>
      </x:c>
      <x:c r="S14" s="299" t="str">
        <x:v>2026 public reporting indicates the broad label split into multiple specialist agent categories.</x:v>
      </x:c>
      <x:c r="T14" s="300" t="str">
        <x:f>IFERROR(INDEX($C14:$L14,1,MATCH($N14,$C$4:$L$4,0)),"")</x:f>
        <x:v>PE</x:v>
      </x:c>
      <x:c r="U14" s="300" t="n">
        <x:f>IFERROR(VLOOKUP(T14,'Adoption Methodology'!$F$18:$G$22,2,FALSE),"")</x:f>
        <x:v>2</x:v>
      </x:c>
      <x:c r="V14" s="299" t="str">
        <x:f>IFERROR(VLOOKUP(U14,'Adoption Methodology'!$A$5:$C$10,3,FALSE),"")</x:f>
        <x:v>≈5–15% of relevant market; credible deployments but limited scale</x:v>
      </x:c>
      <x:c r="W14" s="300" t="n">
        <x:f>IFERROR(VLOOKUP(Q14,'Adoption Methodology'!$F$5:$H$12,2,FALSE),"")</x:f>
        <x:v>2</x:v>
      </x:c>
      <x:c r="X14" s="299" t="str">
        <x:f>IFERROR(VLOOKUP(W14,'Adoption Methodology'!$A$5:$C$10,3,FALSE),"")</x:f>
        <x:v>≈5–15% of relevant market; credible deployments but limited scale</x:v>
      </x:c>
      <x:c r="Y14" s="300" t="n">
        <x:f>IF(OR(U14="",W14=""),"",W14-U14)</x:f>
        <x:v>0</x:v>
      </x:c>
      <x:c r="Z14" s="299" t="str">
        <x:f>IF(Y14="","",IF(Y14&gt;0,"Adoption increased",IF(Y14=0,"Broadly unchanged","Adoption maturity lower")))</x:f>
      </x:c>
      <x:c r="AA14" s="300" t="str">
        <x:f>IFERROR(VLOOKUP(Q14,'Adoption Methodology'!$F$5:$H$12,3,FALSE),"Medium")</x:f>
        <x:v>Medium</x:v>
      </x:c>
      <x:c r="AB14" s="299" t="str">
        <x:f>IFERROR(VLOOKUP(A14,'Adoption Methodology'!$K$5:$L$14,2,FALSE),IFERROR(VLOOKUP(B14,'Adoption Methodology'!$N$5:$O$16,2,FALSE),"https://www.gartner.com/en/information-technology/technology-adoption-roadmaps"))</x:f>
        <x:v>https://www.gartner.com/en/articles/hype-cycle-for-agentic-ai</x:v>
      </x:c>
      <x:c r="AC14" s="299" t="str">
        <x:f>IF(R14="","Modelled adoption maturity; see Adoption Methodology.",R14&amp;"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5">
      <x:c r="A15" s="299" t="str">
        <x:v>AI PaaS</x:v>
      </x:c>
      <x:c r="B15" s="299" t="str">
        <x:v>Cloud / Software Engineering</x:v>
      </x:c>
      <x:c r="C15" s="300" t="str"/>
      <x:c r="D15" s="300" t="str"/>
      <x:c r="E15" s="300" t="str">
        <x:v>PE</x:v>
      </x:c>
      <x:c r="F15" s="300" t="str">
        <x:v>PE</x:v>
      </x:c>
      <x:c r="G15" s="300" t="str"/>
      <x:c r="H15" s="300" t="str"/>
      <x:c r="I15" s="300" t="str"/>
      <x:c r="J15" s="300" t="str"/>
      <x:c r="K15" s="300" t="str"/>
      <x:c r="L15" s="300" t="str"/>
      <x:c r="M15" s="300" t="n">
        <x:f>COUNTIF(C15:L15,"IT")+COUNTIF(C15:L15,"PE")+COUNTIF(C15:L15,"TD")+COUNTIF(C15:L15,"SE")+COUNTIF(C15:L15,"PP")</x:f>
        <x:v>2</x:v>
      </x:c>
      <x:c r="N15" s="300" t="n">
        <x:f>IF(C15&lt;&gt;"",2016,IF(D15&lt;&gt;"",2017,IF(E15&lt;&gt;"",2018,IF(F15&lt;&gt;"",2019,IF(G15&lt;&gt;"",2020,IF(H15&lt;&gt;"",2021,IF(I15&lt;&gt;"",2022,IF(J15&lt;&gt;"",2023,IF(K15&lt;&gt;"",2024,IF(L15&lt;&gt;"",2025,""))))))))))</x:f>
        <x:v>2018</x:v>
      </x:c>
      <x:c r="O15" s="300" t="n">
        <x:f>IF(L15&lt;&gt;"",2025,IF(K15&lt;&gt;"",2024,IF(J15&lt;&gt;"",2023,IF(I15&lt;&gt;"",2022,IF(H15&lt;&gt;"",2021,IF(G15&lt;&gt;"",2020,IF(F15&lt;&gt;"",2019,IF(E15&lt;&gt;"",2018,IF(D15&lt;&gt;"",2017,IF(C15&lt;&gt;"",2016,""))))))))))</x:f>
        <x:v>2019</x:v>
      </x:c>
      <x:c r="P15" s="299" t="str">
        <x:v>Exited flagship; may continue on specialist Hype Cycles</x:v>
      </x:c>
      <x:c r="Q15" s="299" t="str">
        <x:v>Superseded / absorbed</x:v>
      </x:c>
      <x:c r="R15" s="299" t="str">
        <x:v>The concept largely survives inside broader platforms, successor terminology or more specific technology categories rather than as a standalone label.</x:v>
      </x:c>
      <x:c r="S15" s="299" t="str"/>
      <x:c r="T15" s="300" t="str">
        <x:f>IFERROR(INDEX($C15:$L15,1,MATCH($N15,$C$4:$L$4,0)),"")</x:f>
        <x:v>PE</x:v>
      </x:c>
      <x:c r="U15" s="300" t="n">
        <x:f>IFERROR(VLOOKUP(T15,'Adoption Methodology'!$F$18:$G$22,2,FALSE),"")</x:f>
        <x:v>2</x:v>
      </x:c>
      <x:c r="V15" s="299" t="str">
        <x:f>IFERROR(VLOOKUP(U15,'Adoption Methodology'!$A$5:$C$10,3,FALSE),"")</x:f>
        <x:v>≈5–15% of relevant market; credible deployments but limited scale</x:v>
      </x:c>
      <x:c r="W15" s="300" t="n">
        <x:f>IFERROR(VLOOKUP(Q15,'Adoption Methodology'!$F$5:$H$12,2,FALSE),"")</x:f>
        <x:v>3</x:v>
      </x:c>
      <x:c r="X15" s="299" t="str">
        <x:f>IFERROR(VLOOKUP(W15,'Adoption Methodology'!$A$5:$C$10,3,FALSE),"")</x:f>
        <x:v>≈15–35% of relevant market, or capability absorbed into successor platforms</x:v>
      </x:c>
      <x:c r="Y15" s="300" t="n">
        <x:f>IF(OR(U15="",W15=""),"",W15-U15)</x:f>
        <x:v>1</x:v>
      </x:c>
      <x:c r="Z15" s="299" t="str">
        <x:f>IF(Y15="","",IF(Y15&gt;0,"Adoption increased",IF(Y15=0,"Broadly unchanged","Adoption maturity lower")))</x:f>
        <x:v>Adoption increased</x:v>
      </x:c>
      <x:c r="AA15" s="300" t="str">
        <x:f>IFERROR(VLOOKUP(Q15,'Adoption Methodology'!$F$5:$H$12,3,FALSE),"Medium")</x:f>
        <x:v>Medium-Low</x:v>
      </x:c>
      <x:c r="AB15" s="299" t="str">
        <x:f>IFERROR(VLOOKUP(A15,'Adoption Methodology'!$K$5:$L$14,2,FALSE),IFERROR(VLOOKUP(B15,'Adoption Methodology'!$N$5:$O$16,2,FALSE),"https://www.gartner.com/en/information-technology/technology-adoption-roadmaps"))</x:f>
        <x:v>https://www.cncf.io/reports/the-cncf-annual-cloud-native-survey/</x:v>
      </x:c>
      <x:c r="AC15" s="299" t="str">
        <x:f>IF(R15="","Modelled adoption maturity; see Adoption Methodology.",R15&amp;"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6">
      <x:c r="A16" s="299" t="str">
        <x:v>AI Simulation</x:v>
      </x:c>
      <x:c r="B16" s="299" t="str">
        <x:v>AI / Data / Analytics</x:v>
      </x:c>
      <x:c r="C16" s="300" t="str"/>
      <x:c r="D16" s="300" t="str"/>
      <x:c r="E16" s="300" t="str"/>
      <x:c r="F16" s="300" t="str"/>
      <x:c r="G16" s="300" t="str"/>
      <x:c r="H16" s="300" t="str"/>
      <x:c r="I16" s="300" t="str"/>
      <x:c r="J16" s="300" t="str">
        <x:v>IT</x:v>
      </x:c>
      <x:c r="K16" s="300" t="str"/>
      <x:c r="L16" s="300" t="str"/>
      <x:c r="M16" s="300" t="n">
        <x:f>COUNTIF(C16:L16,"IT")+COUNTIF(C16:L16,"PE")+COUNTIF(C16:L16,"TD")+COUNTIF(C16:L16,"SE")+COUNTIF(C16:L16,"PP")</x:f>
        <x:v>1</x:v>
      </x:c>
      <x:c r="N16" s="300" t="n">
        <x:f>IF(C16&lt;&gt;"",2016,IF(D16&lt;&gt;"",2017,IF(E16&lt;&gt;"",2018,IF(F16&lt;&gt;"",2019,IF(G16&lt;&gt;"",2020,IF(H16&lt;&gt;"",2021,IF(I16&lt;&gt;"",2022,IF(J16&lt;&gt;"",2023,IF(K16&lt;&gt;"",2024,IF(L16&lt;&gt;"",2025,""))))))))))</x:f>
        <x:v>2023</x:v>
      </x:c>
      <x:c r="O16" s="300" t="n">
        <x:f>IF(L16&lt;&gt;"",2025,IF(K16&lt;&gt;"",2024,IF(J16&lt;&gt;"",2023,IF(I16&lt;&gt;"",2022,IF(H16&lt;&gt;"",2021,IF(G16&lt;&gt;"",2020,IF(F16&lt;&gt;"",2019,IF(E16&lt;&gt;"",2018,IF(D16&lt;&gt;"",2017,IF(C16&lt;&gt;"",2016,""))))))))))</x:f>
        <x:v>2023</x:v>
      </x:c>
      <x:c r="P16" s="299" t="str">
        <x:v>Exited flagship; may continue on specialist Hype Cycles</x:v>
      </x:c>
      <x:c r="Q16" s="299" t="str">
        <x:v>Superseded / absorbed</x:v>
      </x:c>
      <x:c r="R16" s="299" t="str">
        <x:v>The concept largely survives inside broader platforms, successor terminology or more specific technology categories rather than as a standalone label.</x:v>
      </x:c>
      <x:c r="S16" s="299" t="str"/>
      <x:c r="T16" s="300" t="str">
        <x:f>IFERROR(INDEX($C16:$L16,1,MATCH($N16,$C$4:$L$4,0)),"")</x:f>
        <x:v>IT</x:v>
      </x:c>
      <x:c r="U16" s="300" t="n">
        <x:f>IFERROR(VLOOKUP(T16,'Adoption Methodology'!$F$18:$G$22,2,FALSE),"")</x:f>
        <x:v>1</x:v>
      </x:c>
      <x:c r="V16" s="299" t="str">
        <x:f>IFERROR(VLOOKUP(U16,'Adoption Methodology'!$A$5:$C$10,3,FALSE),"")</x:f>
        <x:v>≈1–5% of relevant market; prototypes, pilots or very early deployments</x:v>
      </x:c>
      <x:c r="W16" s="300" t="n">
        <x:f>IFERROR(VLOOKUP(Q16,'Adoption Methodology'!$F$5:$H$12,2,FALSE),"")</x:f>
        <x:v>3</x:v>
      </x:c>
      <x:c r="X16" s="299" t="str">
        <x:f>IFERROR(VLOOKUP(W16,'Adoption Methodology'!$A$5:$C$10,3,FALSE),"")</x:f>
        <x:v>≈15–35% of relevant market, or capability absorbed into successor platforms</x:v>
      </x:c>
      <x:c r="Y16" s="300" t="n">
        <x:f>IF(OR(U16="",W16=""),"",W16-U16)</x:f>
        <x:v>2</x:v>
      </x:c>
      <x:c r="Z16" s="299" t="str">
        <x:f>IF(Y16="","",IF(Y16&gt;0,"Adoption increased",IF(Y16=0,"Broadly unchanged","Adoption maturity lower")))</x:f>
        <x:v>Adoption increased</x:v>
      </x:c>
      <x:c r="AA16" s="300" t="str">
        <x:f>IFERROR(VLOOKUP(Q16,'Adoption Methodology'!$F$5:$H$12,3,FALSE),"Medium")</x:f>
        <x:v>Medium-Low</x:v>
      </x:c>
      <x:c r="AB16" s="299" t="str">
        <x:f>IFERROR(VLOOKUP(A16,'Adoption Methodology'!$K$5:$L$14,2,FALSE),IFERROR(VLOOKUP(B16,'Adoption Methodology'!$N$5:$O$16,2,FALSE),"https://www.gartner.com/en/information-technology/technology-adoption-roadmaps"))</x:f>
        <x:v>https://www.mckinsey.com/capabilities/quantumblack/our-insights/the-state-of-ai</x:v>
      </x:c>
      <x:c r="AC16" s="299" t="str">
        <x:f>IF(R16="","Modelled adoption maturity; see Adoption Methodology.",R16&amp;"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7">
      <x:c r="A17" s="299" t="str">
        <x:v>AI Supercomputing</x:v>
      </x:c>
      <x:c r="B17" s="299" t="str">
        <x:v>Advanced Computing</x:v>
      </x:c>
      <x:c r="C17" s="300" t="str"/>
      <x:c r="D17" s="300" t="str"/>
      <x:c r="E17" s="300" t="str"/>
      <x:c r="F17" s="300" t="str"/>
      <x:c r="G17" s="300" t="str"/>
      <x:c r="H17" s="300" t="str"/>
      <x:c r="I17" s="300" t="str"/>
      <x:c r="J17" s="300" t="str"/>
      <x:c r="K17" s="300" t="str">
        <x:v>IT</x:v>
      </x:c>
      <x:c r="L17" s="300" t="str"/>
      <x:c r="M17" s="300" t="n">
        <x:f>COUNTIF(C17:L17,"IT")+COUNTIF(C17:L17,"PE")+COUNTIF(C17:L17,"TD")+COUNTIF(C17:L17,"SE")+COUNTIF(C17:L17,"PP")</x:f>
        <x:v>1</x:v>
      </x:c>
      <x:c r="N17" s="300" t="n">
        <x:f>IF(C17&lt;&gt;"",2016,IF(D17&lt;&gt;"",2017,IF(E17&lt;&gt;"",2018,IF(F17&lt;&gt;"",2019,IF(G17&lt;&gt;"",2020,IF(H17&lt;&gt;"",2021,IF(I17&lt;&gt;"",2022,IF(J17&lt;&gt;"",2023,IF(K17&lt;&gt;"",2024,IF(L17&lt;&gt;"",2025,""))))))))))</x:f>
        <x:v>2024</x:v>
      </x:c>
      <x:c r="O17" s="300" t="n">
        <x:f>IF(L17&lt;&gt;"",2025,IF(K17&lt;&gt;"",2024,IF(J17&lt;&gt;"",2023,IF(I17&lt;&gt;"",2022,IF(H17&lt;&gt;"",2021,IF(G17&lt;&gt;"",2020,IF(F17&lt;&gt;"",2019,IF(E17&lt;&gt;"",2018,IF(D17&lt;&gt;"",2017,IF(C17&lt;&gt;"",2016,""))))))))))</x:f>
        <x:v>2024</x:v>
      </x:c>
      <x:c r="P17" s="299" t="str">
        <x:v>Exited flagship; may continue on specialist Hype Cycles</x:v>
      </x:c>
      <x:c r="Q17" s="299" t="str">
        <x:v>Established / specialist</x:v>
      </x:c>
      <x:c r="R17" s="299" t="str">
        <x:v>By 2026 there are credible production uses and vendors, but adoption is concentrated in particular workloads, industries or architectures rather than universal.</x:v>
      </x:c>
      <x:c r="S17" s="299" t="str"/>
      <x:c r="T17" s="300" t="str">
        <x:f>IFERROR(INDEX($C17:$L17,1,MATCH($N17,$C$4:$L$4,0)),"")</x:f>
        <x:v>IT</x:v>
      </x:c>
      <x:c r="U17" s="300" t="n">
        <x:f>IFERROR(VLOOKUP(T17,'Adoption Methodology'!$F$18:$G$22,2,FALSE),"")</x:f>
        <x:v>1</x:v>
      </x:c>
      <x:c r="V17" s="299" t="str">
        <x:f>IFERROR(VLOOKUP(U17,'Adoption Methodology'!$A$5:$C$10,3,FALSE),"")</x:f>
        <x:v>≈1–5% of relevant market; prototypes, pilots or very early deployments</x:v>
      </x:c>
      <x:c r="W17" s="300" t="n">
        <x:f>IFERROR(VLOOKUP(Q17,'Adoption Methodology'!$F$5:$H$12,2,FALSE),"")</x:f>
        <x:v>4</x:v>
      </x:c>
      <x:c r="X17" s="299" t="str">
        <x:f>IFERROR(VLOOKUP(W17,'Adoption Methodology'!$A$5:$C$10,3,FALSE),"")</x:f>
        <x:v>≈35–60% within the addressable segment; mature specialist use</x:v>
      </x:c>
      <x:c r="Y17" s="300" t="n">
        <x:f>IF(OR(U17="",W17=""),"",W17-U17)</x:f>
        <x:v>3</x:v>
      </x:c>
      <x:c r="Z17" s="299" t="str">
        <x:f>IF(Y17="","",IF(Y17&gt;0,"Adoption increased",IF(Y17=0,"Broadly unchanged","Adoption maturity lower")))</x:f>
        <x:v>Adoption increased</x:v>
      </x:c>
      <x:c r="AA17" s="300" t="str">
        <x:f>IFERROR(VLOOKUP(Q17,'Adoption Methodology'!$F$5:$H$12,3,FALSE),"Medium")</x:f>
        <x:v>High</x:v>
      </x:c>
      <x:c r="AB17" s="299" t="str">
        <x:f>IFERROR(VLOOKUP(A17,'Adoption Methodology'!$K$5:$L$14,2,FALSE),IFERROR(VLOOKUP(B17,'Adoption Methodology'!$N$5:$O$16,2,FALSE),"https://www.gartner.com/en/information-technology/technology-adoption-roadmaps"))</x:f>
        <x:v>https://www.mckinsey.com/capabilities/tech-and-ai/our-insights/the-year-of-quantum-from-concept-to-reality-in-2025</x:v>
      </x:c>
      <x:c r="AC17" s="299" t="str">
        <x:f>IF(R17="","Modelled adoption maturity; see Adoption Methodology.",R17&amp;"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8">
      <x:c r="A18" s="299" t="str">
        <x:v>AI TRiSM</x:v>
      </x:c>
      <x:c r="B18" s="299" t="str">
        <x:v>AI / Data / Analytics</x:v>
      </x:c>
      <x:c r="C18" s="300" t="str"/>
      <x:c r="D18" s="300" t="str"/>
      <x:c r="E18" s="300" t="str"/>
      <x:c r="F18" s="300" t="str"/>
      <x:c r="G18" s="300" t="str"/>
      <x:c r="H18" s="300" t="str"/>
      <x:c r="I18" s="300" t="str"/>
      <x:c r="J18" s="300" t="str">
        <x:v>PE</x:v>
      </x:c>
      <x:c r="K18" s="300" t="str">
        <x:v>PE</x:v>
      </x:c>
      <x:c r="L18" s="300" t="str"/>
      <x:c r="M18" s="300" t="n">
        <x:f>COUNTIF(C18:L18,"IT")+COUNTIF(C18:L18,"PE")+COUNTIF(C18:L18,"TD")+COUNTIF(C18:L18,"SE")+COUNTIF(C18:L18,"PP")</x:f>
        <x:v>2</x:v>
      </x:c>
      <x:c r="N18" s="300" t="n">
        <x:f>IF(C18&lt;&gt;"",2016,IF(D18&lt;&gt;"",2017,IF(E18&lt;&gt;"",2018,IF(F18&lt;&gt;"",2019,IF(G18&lt;&gt;"",2020,IF(H18&lt;&gt;"",2021,IF(I18&lt;&gt;"",2022,IF(J18&lt;&gt;"",2023,IF(K18&lt;&gt;"",2024,IF(L18&lt;&gt;"",2025,""))))))))))</x:f>
        <x:v>2023</x:v>
      </x:c>
      <x:c r="O18" s="300" t="n">
        <x:f>IF(L18&lt;&gt;"",2025,IF(K18&lt;&gt;"",2024,IF(J18&lt;&gt;"",2023,IF(I18&lt;&gt;"",2022,IF(H18&lt;&gt;"",2021,IF(G18&lt;&gt;"",2020,IF(F18&lt;&gt;"",2019,IF(E18&lt;&gt;"",2018,IF(D18&lt;&gt;"",2017,IF(C18&lt;&gt;"",2016,""))))))))))</x:f>
        <x:v>2024</x:v>
      </x:c>
      <x:c r="P18" s="299" t="str">
        <x:v>Exited flagship; may continue on specialist Hype Cycles</x:v>
      </x:c>
      <x:c r="Q18" s="299" t="str">
        <x:v>Established / specialist</x:v>
      </x:c>
      <x:c r="R18" s="299" t="str">
        <x:v>By 2026 there are credible production uses and vendors, but adoption is concentrated in particular workloads, industries or architectures rather than universal.</x:v>
      </x:c>
      <x:c r="S18" s="299" t="str"/>
      <x:c r="T18" s="300" t="str">
        <x:f>IFERROR(INDEX($C18:$L18,1,MATCH($N18,$C$4:$L$4,0)),"")</x:f>
        <x:v>PE</x:v>
      </x:c>
      <x:c r="U18" s="300" t="n">
        <x:f>IFERROR(VLOOKUP(T18,'Adoption Methodology'!$F$18:$G$22,2,FALSE),"")</x:f>
        <x:v>2</x:v>
      </x:c>
      <x:c r="V18" s="299" t="str">
        <x:f>IFERROR(VLOOKUP(U18,'Adoption Methodology'!$A$5:$C$10,3,FALSE),"")</x:f>
        <x:v>≈5–15% of relevant market; credible deployments but limited scale</x:v>
      </x:c>
      <x:c r="W18" s="300" t="n">
        <x:f>IFERROR(VLOOKUP(Q18,'Adoption Methodology'!$F$5:$H$12,2,FALSE),"")</x:f>
        <x:v>4</x:v>
      </x:c>
      <x:c r="X18" s="299" t="str">
        <x:f>IFERROR(VLOOKUP(W18,'Adoption Methodology'!$A$5:$C$10,3,FALSE),"")</x:f>
        <x:v>≈35–60% within the addressable segment; mature specialist use</x:v>
      </x:c>
      <x:c r="Y18" s="300" t="n">
        <x:f>IF(OR(U18="",W18=""),"",W18-U18)</x:f>
        <x:v>2</x:v>
      </x:c>
      <x:c r="Z18" s="299" t="str">
        <x:f>IF(Y18="","",IF(Y18&gt;0,"Adoption increased",IF(Y18=0,"Broadly unchanged","Adoption maturity lower")))</x:f>
        <x:v>Adoption increased</x:v>
      </x:c>
      <x:c r="AA18" s="300" t="str">
        <x:f>IFERROR(VLOOKUP(Q18,'Adoption Methodology'!$F$5:$H$12,3,FALSE),"Medium")</x:f>
        <x:v>High</x:v>
      </x:c>
      <x:c r="AB18" s="299" t="str">
        <x:f>IFERROR(VLOOKUP(A18,'Adoption Methodology'!$K$5:$L$14,2,FALSE),IFERROR(VLOOKUP(B18,'Adoption Methodology'!$N$5:$O$16,2,FALSE),"https://www.gartner.com/en/information-technology/technology-adoption-roadmaps"))</x:f>
        <x:v>https://www.mckinsey.com/capabilities/quantumblack/our-insights/the-state-of-ai</x:v>
      </x:c>
      <x:c r="AC18" s="299" t="str">
        <x:f>IF(R18="","Modelled adoption maturity; see Adoption Methodology.",R18&amp;"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9">
      <x:c r="A19" s="299" t="str">
        <x:v>AI-Augmented Design</x:v>
      </x:c>
      <x:c r="B19" s="299" t="str">
        <x:v>AI / Data / Analytics</x:v>
      </x:c>
      <x:c r="C19" s="300" t="str"/>
      <x:c r="D19" s="300" t="str"/>
      <x:c r="E19" s="300" t="str"/>
      <x:c r="F19" s="300" t="str"/>
      <x:c r="G19" s="300" t="str">
        <x:v>IT</x:v>
      </x:c>
      <x:c r="H19" s="300" t="str">
        <x:v>IT</x:v>
      </x:c>
      <x:c r="I19" s="300" t="str"/>
      <x:c r="J19" s="300" t="str"/>
      <x:c r="K19" s="300" t="str"/>
      <x:c r="L19" s="300" t="str"/>
      <x:c r="M19" s="300" t="n">
        <x:f>COUNTIF(C19:L19,"IT")+COUNTIF(C19:L19,"PE")+COUNTIF(C19:L19,"TD")+COUNTIF(C19:L19,"SE")+COUNTIF(C19:L19,"PP")</x:f>
        <x:v>2</x:v>
      </x:c>
      <x:c r="N19" s="300" t="n">
        <x:f>IF(C19&lt;&gt;"",2016,IF(D19&lt;&gt;"",2017,IF(E19&lt;&gt;"",2018,IF(F19&lt;&gt;"",2019,IF(G19&lt;&gt;"",2020,IF(H19&lt;&gt;"",2021,IF(I19&lt;&gt;"",2022,IF(J19&lt;&gt;"",2023,IF(K19&lt;&gt;"",2024,IF(L19&lt;&gt;"",2025,""))))))))))</x:f>
        <x:v>2020</x:v>
      </x:c>
      <x:c r="O19" s="300" t="n">
        <x:f>IF(L19&lt;&gt;"",2025,IF(K19&lt;&gt;"",2024,IF(J19&lt;&gt;"",2023,IF(I19&lt;&gt;"",2022,IF(H19&lt;&gt;"",2021,IF(G19&lt;&gt;"",2020,IF(F19&lt;&gt;"",2019,IF(E19&lt;&gt;"",2018,IF(D19&lt;&gt;"",2017,IF(C19&lt;&gt;"",2016,""))))))))))</x:f>
        <x:v>2021</x:v>
      </x:c>
      <x:c r="P19" s="299" t="str">
        <x:v>Renamed by Gartner to Generative Design AI</x:v>
      </x:c>
      <x:c r="Q19" s="299" t="str">
        <x:v>Superseded / absorbed</x:v>
      </x:c>
      <x:c r="R19" s="299" t="str">
        <x:v>The concept largely survives inside broader platforms, successor terminology or more specific technology categories rather than as a standalone label.</x:v>
      </x:c>
      <x:c r="S19" s="299" t="str">
        <x:v>Renamed by Gartner to Generative Design AI (2022).</x:v>
      </x:c>
      <x:c r="T19" s="300" t="str">
        <x:f>IFERROR(INDEX($C19:$L19,1,MATCH($N19,$C$4:$L$4,0)),"")</x:f>
        <x:v>IT</x:v>
      </x:c>
      <x:c r="U19" s="300" t="n">
        <x:f>IFERROR(VLOOKUP(T19,'Adoption Methodology'!$F$18:$G$22,2,FALSE),"")</x:f>
        <x:v>1</x:v>
      </x:c>
      <x:c r="V19" s="299" t="str">
        <x:f>IFERROR(VLOOKUP(U19,'Adoption Methodology'!$A$5:$C$10,3,FALSE),"")</x:f>
        <x:v>≈1–5% of relevant market; prototypes, pilots or very early deployments</x:v>
      </x:c>
      <x:c r="W19" s="300" t="n">
        <x:f>IFERROR(VLOOKUP(Q19,'Adoption Methodology'!$F$5:$H$12,2,FALSE),"")</x:f>
        <x:v>3</x:v>
      </x:c>
      <x:c r="X19" s="299" t="str">
        <x:f>IFERROR(VLOOKUP(W19,'Adoption Methodology'!$A$5:$C$10,3,FALSE),"")</x:f>
        <x:v>≈15–35% of relevant market, or capability absorbed into successor platforms</x:v>
      </x:c>
      <x:c r="Y19" s="300" t="n">
        <x:f>IF(OR(U19="",W19=""),"",W19-U19)</x:f>
        <x:v>2</x:v>
      </x:c>
      <x:c r="Z19" s="299" t="str">
        <x:f>IF(Y19="","",IF(Y19&gt;0,"Adoption increased",IF(Y19=0,"Broadly unchanged","Adoption maturity lower")))</x:f>
        <x:v>Adoption increased</x:v>
      </x:c>
      <x:c r="AA19" s="300" t="str">
        <x:f>IFERROR(VLOOKUP(Q19,'Adoption Methodology'!$F$5:$H$12,3,FALSE),"Medium")</x:f>
        <x:v>Medium-Low</x:v>
      </x:c>
      <x:c r="AB19" s="299" t="str">
        <x:f>IFERROR(VLOOKUP(A19,'Adoption Methodology'!$K$5:$L$14,2,FALSE),IFERROR(VLOOKUP(B19,'Adoption Methodology'!$N$5:$O$16,2,FALSE),"https://www.gartner.com/en/information-technology/technology-adoption-roadmaps"))</x:f>
        <x:v>https://www.mckinsey.com/capabilities/quantumblack/our-insights/the-state-of-ai</x:v>
      </x:c>
      <x:c r="AC19" s="299" t="str">
        <x:f>IF(R19="","Modelled adoption maturity; see Adoption Methodology.",R19&amp;"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20">
      <x:c r="A20" s="299" t="str">
        <x:v>AI-Augmented Development</x:v>
      </x:c>
      <x:c r="B20" s="299" t="str">
        <x:v>AI / Data / Analytics</x:v>
      </x:c>
      <x:c r="C20" s="300" t="str"/>
      <x:c r="D20" s="300" t="str"/>
      <x:c r="E20" s="300" t="str"/>
      <x:c r="F20" s="300" t="str"/>
      <x:c r="G20" s="300" t="str">
        <x:v>IT</x:v>
      </x:c>
      <x:c r="H20" s="300" t="str"/>
      <x:c r="I20" s="300" t="str"/>
      <x:c r="J20" s="300" t="str"/>
      <x:c r="K20" s="300" t="str"/>
      <x:c r="L20" s="300" t="str"/>
      <x:c r="M20" s="300" t="n">
        <x:f>COUNTIF(C20:L20,"IT")+COUNTIF(C20:L20,"PE")+COUNTIF(C20:L20,"TD")+COUNTIF(C20:L20,"SE")+COUNTIF(C20:L20,"PP")</x:f>
        <x:v>1</x:v>
      </x:c>
      <x:c r="N20" s="300" t="n">
        <x:f>IF(C20&lt;&gt;"",2016,IF(D20&lt;&gt;"",2017,IF(E20&lt;&gt;"",2018,IF(F20&lt;&gt;"",2019,IF(G20&lt;&gt;"",2020,IF(H20&lt;&gt;"",2021,IF(I20&lt;&gt;"",2022,IF(J20&lt;&gt;"",2023,IF(K20&lt;&gt;"",2024,IF(L20&lt;&gt;"",2025,""))))))))))</x:f>
        <x:v>2020</x:v>
      </x:c>
      <x:c r="O20" s="300" t="n">
        <x:f>IF(L20&lt;&gt;"",2025,IF(K20&lt;&gt;"",2024,IF(J20&lt;&gt;"",2023,IF(I20&lt;&gt;"",2022,IF(H20&lt;&gt;"",2021,IF(G20&lt;&gt;"",2020,IF(F20&lt;&gt;"",2019,IF(E20&lt;&gt;"",2018,IF(D20&lt;&gt;"",2017,IF(C20&lt;&gt;"",2016,""))))))))))</x:f>
        <x:v>2020</x:v>
      </x:c>
      <x:c r="P20" s="299" t="str">
        <x:v>Exited flagship; may continue on specialist Hype Cycles</x:v>
      </x:c>
      <x:c r="Q20" s="299" t="str">
        <x:v>Superseded / absorbed</x:v>
      </x:c>
      <x:c r="R20" s="299" t="str">
        <x:v>The concept largely survives inside broader platforms, successor terminology or more specific technology categories rather than as a standalone label.</x:v>
      </x:c>
      <x:c r="S20" s="299" t="str"/>
      <x:c r="T20" s="300" t="str">
        <x:f>IFERROR(INDEX($C20:$L20,1,MATCH($N20,$C$4:$L$4,0)),"")</x:f>
        <x:v>IT</x:v>
      </x:c>
      <x:c r="U20" s="300" t="n">
        <x:f>IFERROR(VLOOKUP(T20,'Adoption Methodology'!$F$18:$G$22,2,FALSE),"")</x:f>
        <x:v>1</x:v>
      </x:c>
      <x:c r="V20" s="299" t="str">
        <x:f>IFERROR(VLOOKUP(U20,'Adoption Methodology'!$A$5:$C$10,3,FALSE),"")</x:f>
        <x:v>≈1–5% of relevant market; prototypes, pilots or very early deployments</x:v>
      </x:c>
      <x:c r="W20" s="300" t="n">
        <x:f>IFERROR(VLOOKUP(Q20,'Adoption Methodology'!$F$5:$H$12,2,FALSE),"")</x:f>
        <x:v>3</x:v>
      </x:c>
      <x:c r="X20" s="299" t="str">
        <x:f>IFERROR(VLOOKUP(W20,'Adoption Methodology'!$A$5:$C$10,3,FALSE),"")</x:f>
        <x:v>≈15–35% of relevant market, or capability absorbed into successor platforms</x:v>
      </x:c>
      <x:c r="Y20" s="300" t="n">
        <x:f>IF(OR(U20="",W20=""),"",W20-U20)</x:f>
        <x:v>2</x:v>
      </x:c>
      <x:c r="Z20" s="299" t="str">
        <x:f>IF(Y20="","",IF(Y20&gt;0,"Adoption increased",IF(Y20=0,"Broadly unchanged","Adoption maturity lower")))</x:f>
        <x:v>Adoption increased</x:v>
      </x:c>
      <x:c r="AA20" s="300" t="str">
        <x:f>IFERROR(VLOOKUP(Q20,'Adoption Methodology'!$F$5:$H$12,3,FALSE),"Medium")</x:f>
        <x:v>Medium-Low</x:v>
      </x:c>
      <x:c r="AB20" s="299" t="str">
        <x:f>IFERROR(VLOOKUP(A20,'Adoption Methodology'!$K$5:$L$14,2,FALSE),IFERROR(VLOOKUP(B20,'Adoption Methodology'!$N$5:$O$16,2,FALSE),"https://www.gartner.com/en/information-technology/technology-adoption-roadmaps"))</x:f>
        <x:v>https://www.mckinsey.com/capabilities/quantumblack/our-insights/the-state-of-ai</x:v>
      </x:c>
      <x:c r="AC20" s="299" t="str">
        <x:f>IF(R20="","Modelled adoption maturity; see Adoption Methodology.",R20&amp;"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21">
      <x:c r="A21" s="299" t="str">
        <x:v>AI-Augmented Software Engineering</x:v>
      </x:c>
      <x:c r="B21" s="299" t="str">
        <x:v>Cloud / Software Engineering</x:v>
      </x:c>
      <x:c r="C21" s="300" t="str"/>
      <x:c r="D21" s="300" t="str"/>
      <x:c r="E21" s="300" t="str"/>
      <x:c r="F21" s="300" t="str"/>
      <x:c r="G21" s="300" t="str"/>
      <x:c r="H21" s="300" t="str">
        <x:v>PE</x:v>
      </x:c>
      <x:c r="I21" s="300" t="str"/>
      <x:c r="J21" s="300" t="str">
        <x:v>PE</x:v>
      </x:c>
      <x:c r="K21" s="300" t="str">
        <x:v>PE</x:v>
      </x:c>
      <x:c r="L21" s="300" t="str"/>
      <x:c r="M21" s="300" t="n">
        <x:f>COUNTIF(C21:L21,"IT")+COUNTIF(C21:L21,"PE")+COUNTIF(C21:L21,"TD")+COUNTIF(C21:L21,"SE")+COUNTIF(C21:L21,"PP")</x:f>
        <x:v>3</x:v>
      </x:c>
      <x:c r="N21" s="300" t="n">
        <x:f>IF(C21&lt;&gt;"",2016,IF(D21&lt;&gt;"",2017,IF(E21&lt;&gt;"",2018,IF(F21&lt;&gt;"",2019,IF(G21&lt;&gt;"",2020,IF(H21&lt;&gt;"",2021,IF(I21&lt;&gt;"",2022,IF(J21&lt;&gt;"",2023,IF(K21&lt;&gt;"",2024,IF(L21&lt;&gt;"",2025,""))))))))))</x:f>
        <x:v>2021</x:v>
      </x:c>
      <x:c r="O21" s="300" t="n">
        <x:f>IF(L21&lt;&gt;"",2025,IF(K21&lt;&gt;"",2024,IF(J21&lt;&gt;"",2023,IF(I21&lt;&gt;"",2022,IF(H21&lt;&gt;"",2021,IF(G21&lt;&gt;"",2020,IF(F21&lt;&gt;"",2019,IF(E21&lt;&gt;"",2018,IF(D21&lt;&gt;"",2017,IF(C21&lt;&gt;"",2016,""))))))))))</x:f>
        <x:v>2024</x:v>
      </x:c>
      <x:c r="P21" s="299" t="str">
        <x:v>Exited flagship; may continue on specialist Hype Cycles</x:v>
      </x:c>
      <x:c r="Q21" s="299" t="str">
        <x:v>Established / mainstream</x:v>
      </x:c>
      <x:c r="R21" s="299" t="str">
        <x:v>By 2026 this capability is commercially established or embedded in mainstream enterprise/consumer technology, even if the original Gartner label is no longer prominent.</x:v>
      </x:c>
      <x:c r="S21" s="299" t="str"/>
      <x:c r="T21" s="300" t="str">
        <x:f>IFERROR(INDEX($C21:$L21,1,MATCH($N21,$C$4:$L$4,0)),"")</x:f>
        <x:v>PE</x:v>
      </x:c>
      <x:c r="U21" s="300" t="n">
        <x:f>IFERROR(VLOOKUP(T21,'Adoption Methodology'!$F$18:$G$22,2,FALSE),"")</x:f>
        <x:v>2</x:v>
      </x:c>
      <x:c r="V21" s="299" t="str">
        <x:f>IFERROR(VLOOKUP(U21,'Adoption Methodology'!$A$5:$C$10,3,FALSE),"")</x:f>
        <x:v>≈5–15% of relevant market; credible deployments but limited scale</x:v>
      </x:c>
      <x:c r="W21" s="300" t="n">
        <x:f>IFERROR(VLOOKUP(Q21,'Adoption Methodology'!$F$5:$H$12,2,FALSE),"")</x:f>
        <x:v>5</x:v>
      </x:c>
      <x:c r="X21" s="299" t="str">
        <x:f>IFERROR(VLOOKUP(W21,'Adoption Methodology'!$A$5:$C$10,3,FALSE),"")</x:f>
        <x:v>&gt;60% in leading/addressable segments, or effectively a standard/default capability</x:v>
      </x:c>
      <x:c r="Y21" s="300" t="n">
        <x:f>IF(OR(U21="",W21=""),"",W21-U21)</x:f>
        <x:v>3</x:v>
      </x:c>
      <x:c r="Z21" s="299" t="str">
        <x:f>IF(Y21="","",IF(Y21&gt;0,"Adoption increased",IF(Y21=0,"Broadly unchanged","Adoption maturity lower")))</x:f>
        <x:v>Adoption increased</x:v>
      </x:c>
      <x:c r="AA21" s="300" t="str">
        <x:f>IFERROR(VLOOKUP(Q21,'Adoption Methodology'!$F$5:$H$12,3,FALSE),"Medium")</x:f>
        <x:v>High</x:v>
      </x:c>
      <x:c r="AB21" s="299" t="str">
        <x:f>IFERROR(VLOOKUP(A21,'Adoption Methodology'!$K$5:$L$14,2,FALSE),IFERROR(VLOOKUP(B21,'Adoption Methodology'!$N$5:$O$16,2,FALSE),"https://www.gartner.com/en/information-technology/technology-adoption-roadmaps"))</x:f>
        <x:v>https://www.cncf.io/reports/the-cncf-annual-cloud-native-survey/</x:v>
      </x:c>
      <x:c r="AC21" s="299" t="str">
        <x:f>IF(R21="","Modelled adoption maturity; see Adoption Methodology.",R21&amp;"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2">
      <x:c r="A22" s="299" t="str">
        <x:v>AI-Driven Innovation</x:v>
      </x:c>
      <x:c r="B22" s="299" t="str">
        <x:v>AI / Data / Analytics</x:v>
      </x:c>
      <x:c r="C22" s="300" t="str"/>
      <x:c r="D22" s="300" t="str"/>
      <x:c r="E22" s="300" t="str"/>
      <x:c r="F22" s="300" t="str"/>
      <x:c r="G22" s="300" t="str"/>
      <x:c r="H22" s="300" t="str">
        <x:v>IT</x:v>
      </x:c>
      <x:c r="I22" s="300" t="str"/>
      <x:c r="J22" s="300" t="str"/>
      <x:c r="K22" s="300" t="str"/>
      <x:c r="L22" s="300" t="str"/>
      <x:c r="M22" s="300" t="n">
        <x:f>COUNTIF(C22:L22,"IT")+COUNTIF(C22:L22,"PE")+COUNTIF(C22:L22,"TD")+COUNTIF(C22:L22,"SE")+COUNTIF(C22:L22,"PP")</x:f>
        <x:v>1</x:v>
      </x:c>
      <x:c r="N22" s="300" t="n">
        <x:f>IF(C22&lt;&gt;"",2016,IF(D22&lt;&gt;"",2017,IF(E22&lt;&gt;"",2018,IF(F22&lt;&gt;"",2019,IF(G22&lt;&gt;"",2020,IF(H22&lt;&gt;"",2021,IF(I22&lt;&gt;"",2022,IF(J22&lt;&gt;"",2023,IF(K22&lt;&gt;"",2024,IF(L22&lt;&gt;"",2025,""))))))))))</x:f>
        <x:v>2021</x:v>
      </x:c>
      <x:c r="O22" s="300" t="n">
        <x:f>IF(L22&lt;&gt;"",2025,IF(K22&lt;&gt;"",2024,IF(J22&lt;&gt;"",2023,IF(I22&lt;&gt;"",2022,IF(H22&lt;&gt;"",2021,IF(G22&lt;&gt;"",2020,IF(F22&lt;&gt;"",2019,IF(E22&lt;&gt;"",2018,IF(D22&lt;&gt;"",2017,IF(C22&lt;&gt;"",2016,""))))))))))</x:f>
        <x:v>2021</x:v>
      </x:c>
      <x:c r="P22" s="299" t="str">
        <x:v>Exited flagship; may continue on specialist Hype Cycles</x:v>
      </x:c>
      <x:c r="Q22" s="299" t="str">
        <x:v>Superseded / absorbed</x:v>
      </x:c>
      <x:c r="R22" s="299" t="str">
        <x:v>The concept largely survives inside broader platforms, successor terminology or more specific technology categories rather than as a standalone label.</x:v>
      </x:c>
      <x:c r="S22" s="299" t="str"/>
      <x:c r="T22" s="300" t="str">
        <x:f>IFERROR(INDEX($C22:$L22,1,MATCH($N22,$C$4:$L$4,0)),"")</x:f>
        <x:v>IT</x:v>
      </x:c>
      <x:c r="U22" s="300" t="n">
        <x:f>IFERROR(VLOOKUP(T22,'Adoption Methodology'!$F$18:$G$22,2,FALSE),"")</x:f>
        <x:v>1</x:v>
      </x:c>
      <x:c r="V22" s="299" t="str">
        <x:f>IFERROR(VLOOKUP(U22,'Adoption Methodology'!$A$5:$C$10,3,FALSE),"")</x:f>
        <x:v>≈1–5% of relevant market; prototypes, pilots or very early deployments</x:v>
      </x:c>
      <x:c r="W22" s="300" t="n">
        <x:f>IFERROR(VLOOKUP(Q22,'Adoption Methodology'!$F$5:$H$12,2,FALSE),"")</x:f>
        <x:v>3</x:v>
      </x:c>
      <x:c r="X22" s="299" t="str">
        <x:f>IFERROR(VLOOKUP(W22,'Adoption Methodology'!$A$5:$C$10,3,FALSE),"")</x:f>
        <x:v>≈15–35% of relevant market, or capability absorbed into successor platforms</x:v>
      </x:c>
      <x:c r="Y22" s="300" t="n">
        <x:f>IF(OR(U22="",W22=""),"",W22-U22)</x:f>
        <x:v>2</x:v>
      </x:c>
      <x:c r="Z22" s="299" t="str">
        <x:f>IF(Y22="","",IF(Y22&gt;0,"Adoption increased",IF(Y22=0,"Broadly unchanged","Adoption maturity lower")))</x:f>
        <x:v>Adoption increased</x:v>
      </x:c>
      <x:c r="AA22" s="300" t="str">
        <x:f>IFERROR(VLOOKUP(Q22,'Adoption Methodology'!$F$5:$H$12,3,FALSE),"Medium")</x:f>
        <x:v>Medium-Low</x:v>
      </x:c>
      <x:c r="AB22" s="299" t="str">
        <x:f>IFERROR(VLOOKUP(A22,'Adoption Methodology'!$K$5:$L$14,2,FALSE),IFERROR(VLOOKUP(B22,'Adoption Methodology'!$N$5:$O$16,2,FALSE),"https://www.gartner.com/en/information-technology/technology-adoption-roadmaps"))</x:f>
        <x:v>https://www.mckinsey.com/capabilities/quantumblack/our-insights/the-state-of-ai</x:v>
      </x:c>
      <x:c r="AC22" s="299" t="str">
        <x:f>IF(R22="","Modelled adoption maturity; see Adoption Methodology.",R22&amp;"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23">
      <x:c r="A23" s="299" t="str">
        <x:v>API-Centric SaaS</x:v>
      </x:c>
      <x:c r="B23" s="299" t="str">
        <x:v>Business / Emerging Technology</x:v>
      </x:c>
      <x:c r="C23" s="300" t="str"/>
      <x:c r="D23" s="300" t="str"/>
      <x:c r="E23" s="300" t="str"/>
      <x:c r="F23" s="300" t="str"/>
      <x:c r="G23" s="300" t="str"/>
      <x:c r="H23" s="300" t="str"/>
      <x:c r="I23" s="300" t="str"/>
      <x:c r="J23" s="300" t="str">
        <x:v>PE</x:v>
      </x:c>
      <x:c r="K23" s="300" t="str"/>
      <x:c r="L23" s="300" t="str"/>
      <x:c r="M23" s="300" t="n">
        <x:f>COUNTIF(C23:L23,"IT")+COUNTIF(C23:L23,"PE")+COUNTIF(C23:L23,"TD")+COUNTIF(C23:L23,"SE")+COUNTIF(C23:L23,"PP")</x:f>
        <x:v>1</x:v>
      </x:c>
      <x:c r="N23" s="300" t="n">
        <x:f>IF(C23&lt;&gt;"",2016,IF(D23&lt;&gt;"",2017,IF(E23&lt;&gt;"",2018,IF(F23&lt;&gt;"",2019,IF(G23&lt;&gt;"",2020,IF(H23&lt;&gt;"",2021,IF(I23&lt;&gt;"",2022,IF(J23&lt;&gt;"",2023,IF(K23&lt;&gt;"",2024,IF(L23&lt;&gt;"",2025,""))))))))))</x:f>
        <x:v>2023</x:v>
      </x:c>
      <x:c r="O23" s="300" t="n">
        <x:f>IF(L23&lt;&gt;"",2025,IF(K23&lt;&gt;"",2024,IF(J23&lt;&gt;"",2023,IF(I23&lt;&gt;"",2022,IF(H23&lt;&gt;"",2021,IF(G23&lt;&gt;"",2020,IF(F23&lt;&gt;"",2019,IF(E23&lt;&gt;"",2018,IF(D23&lt;&gt;"",2017,IF(C23&lt;&gt;"",2016,""))))))))))</x:f>
        <x:v>2023</x:v>
      </x:c>
      <x:c r="P23" s="299" t="str">
        <x:v>Renamed by Gartner to headless SaaS after 2023</x:v>
      </x:c>
      <x:c r="Q23" s="299" t="str">
        <x:v>Superseded / absorbed</x:v>
      </x:c>
      <x:c r="R23" s="299" t="str">
        <x:v>The concept largely survives inside broader platforms, successor terminology or more specific technology categories rather than as a standalone label.</x:v>
      </x:c>
      <x:c r="S23" s="299" t="str">
        <x:v>Renamed by Gartner to headless SaaS after leaving the 2023 flagship.</x:v>
      </x:c>
      <x:c r="T23" s="300" t="str">
        <x:f>IFERROR(INDEX($C23:$L23,1,MATCH($N23,$C$4:$L$4,0)),"")</x:f>
        <x:v>PE</x:v>
      </x:c>
      <x:c r="U23" s="300" t="n">
        <x:f>IFERROR(VLOOKUP(T23,'Adoption Methodology'!$F$18:$G$22,2,FALSE),"")</x:f>
        <x:v>2</x:v>
      </x:c>
      <x:c r="V23" s="299" t="str">
        <x:f>IFERROR(VLOOKUP(U23,'Adoption Methodology'!$A$5:$C$10,3,FALSE),"")</x:f>
        <x:v>≈5–15% of relevant market; credible deployments but limited scale</x:v>
      </x:c>
      <x:c r="W23" s="300" t="n">
        <x:f>IFERROR(VLOOKUP(Q23,'Adoption Methodology'!$F$5:$H$12,2,FALSE),"")</x:f>
        <x:v>3</x:v>
      </x:c>
      <x:c r="X23" s="299" t="str">
        <x:f>IFERROR(VLOOKUP(W23,'Adoption Methodology'!$A$5:$C$10,3,FALSE),"")</x:f>
        <x:v>≈15–35% of relevant market, or capability absorbed into successor platforms</x:v>
      </x:c>
      <x:c r="Y23" s="300" t="n">
        <x:f>IF(OR(U23="",W23=""),"",W23-U23)</x:f>
        <x:v>1</x:v>
      </x:c>
      <x:c r="Z23" s="299" t="str">
        <x:f>IF(Y23="","",IF(Y23&gt;0,"Adoption increased",IF(Y23=0,"Broadly unchanged","Adoption maturity lower")))</x:f>
        <x:v>Adoption increased</x:v>
      </x:c>
      <x:c r="AA23" s="300" t="str">
        <x:f>IFERROR(VLOOKUP(Q23,'Adoption Methodology'!$F$5:$H$12,3,FALSE),"Medium")</x:f>
        <x:v>Medium-Low</x:v>
      </x:c>
      <x:c r="AB23" s="299" t="str">
        <x:f>IFERROR(VLOOKUP(A23,'Adoption Methodology'!$K$5:$L$14,2,FALSE),IFERROR(VLOOKUP(B23,'Adoption Methodology'!$N$5:$O$16,2,FALSE),"https://www.gartner.com/en/information-technology/technology-adoption-roadmaps"))</x:f>
        <x:v>https://www.gartner.com/en/information-technology/technology-adoption-roadmaps</x:v>
      </x:c>
      <x:c r="AC23" s="299" t="str">
        <x:f>IF(R23="","Modelled adoption maturity; see Adoption Methodology.",R23&amp;"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24">
      <x:c r="A24" s="299" t="str">
        <x:v>AR Cloud</x:v>
      </x:c>
      <x:c r="B24" s="299" t="str">
        <x:v>Cloud / Software Engineering</x:v>
      </x:c>
      <x:c r="C24" s="300" t="str"/>
      <x:c r="D24" s="300" t="str"/>
      <x:c r="E24" s="300" t="str"/>
      <x:c r="F24" s="300" t="str">
        <x:v>IT</x:v>
      </x:c>
      <x:c r="G24" s="300" t="str"/>
      <x:c r="H24" s="300" t="str"/>
      <x:c r="I24" s="300" t="str"/>
      <x:c r="J24" s="300" t="str"/>
      <x:c r="K24" s="300" t="str"/>
      <x:c r="L24" s="300" t="str"/>
      <x:c r="M24" s="300" t="n">
        <x:f>COUNTIF(C24:L24,"IT")+COUNTIF(C24:L24,"PE")+COUNTIF(C24:L24,"TD")+COUNTIF(C24:L24,"SE")+COUNTIF(C24:L24,"PP")</x:f>
        <x:v>1</x:v>
      </x:c>
      <x:c r="N24" s="300" t="n">
        <x:f>IF(C24&lt;&gt;"",2016,IF(D24&lt;&gt;"",2017,IF(E24&lt;&gt;"",2018,IF(F24&lt;&gt;"",2019,IF(G24&lt;&gt;"",2020,IF(H24&lt;&gt;"",2021,IF(I24&lt;&gt;"",2022,IF(J24&lt;&gt;"",2023,IF(K24&lt;&gt;"",2024,IF(L24&lt;&gt;"",2025,""))))))))))</x:f>
        <x:v>2019</x:v>
      </x:c>
      <x:c r="O24" s="300" t="n">
        <x:f>IF(L24&lt;&gt;"",2025,IF(K24&lt;&gt;"",2024,IF(J24&lt;&gt;"",2023,IF(I24&lt;&gt;"",2022,IF(H24&lt;&gt;"",2021,IF(G24&lt;&gt;"",2020,IF(F24&lt;&gt;"",2019,IF(E24&lt;&gt;"",2018,IF(D24&lt;&gt;"",2017,IF(C24&lt;&gt;"",2016,""))))))))))</x:f>
        <x:v>2019</x:v>
      </x:c>
      <x:c r="P24" s="299" t="str">
        <x:v>Exited flagship; may continue on specialist Hype Cycles</x:v>
      </x:c>
      <x:c r="Q24" s="299" t="str">
        <x:v>Established / specialist</x:v>
      </x:c>
      <x:c r="R24" s="299" t="str">
        <x:v>By 2026 there are credible production uses and vendors, but adoption is concentrated in particular workloads, industries or architectures rather than universal.</x:v>
      </x:c>
      <x:c r="S24" s="299" t="str"/>
      <x:c r="T24" s="300" t="str">
        <x:f>IFERROR(INDEX($C24:$L24,1,MATCH($N24,$C$4:$L$4,0)),"")</x:f>
        <x:v>IT</x:v>
      </x:c>
      <x:c r="U24" s="300" t="n">
        <x:f>IFERROR(VLOOKUP(T24,'Adoption Methodology'!$F$18:$G$22,2,FALSE),"")</x:f>
        <x:v>1</x:v>
      </x:c>
      <x:c r="V24" s="299" t="str">
        <x:f>IFERROR(VLOOKUP(U24,'Adoption Methodology'!$A$5:$C$10,3,FALSE),"")</x:f>
        <x:v>≈1–5% of relevant market; prototypes, pilots or very early deployments</x:v>
      </x:c>
      <x:c r="W24" s="300" t="n">
        <x:f>IFERROR(VLOOKUP(Q24,'Adoption Methodology'!$F$5:$H$12,2,FALSE),"")</x:f>
        <x:v>4</x:v>
      </x:c>
      <x:c r="X24" s="299" t="str">
        <x:f>IFERROR(VLOOKUP(W24,'Adoption Methodology'!$A$5:$C$10,3,FALSE),"")</x:f>
        <x:v>≈35–60% within the addressable segment; mature specialist use</x:v>
      </x:c>
      <x:c r="Y24" s="300" t="n">
        <x:f>IF(OR(U24="",W24=""),"",W24-U24)</x:f>
        <x:v>3</x:v>
      </x:c>
      <x:c r="Z24" s="299" t="str">
        <x:f>IF(Y24="","",IF(Y24&gt;0,"Adoption increased",IF(Y24=0,"Broadly unchanged","Adoption maturity lower")))</x:f>
        <x:v>Adoption increased</x:v>
      </x:c>
      <x:c r="AA24" s="300" t="str">
        <x:f>IFERROR(VLOOKUP(Q24,'Adoption Methodology'!$F$5:$H$12,3,FALSE),"Medium")</x:f>
        <x:v>High</x:v>
      </x:c>
      <x:c r="AB24" s="299" t="str">
        <x:f>IFERROR(VLOOKUP(A24,'Adoption Methodology'!$K$5:$L$14,2,FALSE),IFERROR(VLOOKUP(B24,'Adoption Methodology'!$N$5:$O$16,2,FALSE),"https://www.gartner.com/en/information-technology/technology-adoption-roadmaps"))</x:f>
        <x:v>https://www.cncf.io/reports/the-cncf-annual-cloud-native-survey/</x:v>
      </x:c>
      <x:c r="AC24" s="299" t="str">
        <x:f>IF(R24="","Modelled adoption maturity; see Adoption Methodology.",R24&amp;"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25">
      <x:c r="A25" s="299" t="str">
        <x:v>Artificial General Intelligence</x:v>
      </x:c>
      <x:c r="B25" s="299" t="str">
        <x:v>AI / Data / Analytics</x:v>
      </x:c>
      <x:c r="C25" s="300" t="str"/>
      <x:c r="D25" s="300" t="str">
        <x:v>IT</x:v>
      </x:c>
      <x:c r="E25" s="300" t="str">
        <x:v>IT</x:v>
      </x:c>
      <x:c r="F25" s="300" t="str"/>
      <x:c r="G25" s="300" t="str"/>
      <x:c r="H25" s="300" t="str"/>
      <x:c r="I25" s="300" t="str"/>
      <x:c r="J25" s="300" t="str"/>
      <x:c r="K25" s="300" t="str">
        <x:v>IT</x:v>
      </x:c>
      <x:c r="L25" s="300" t="str">
        <x:v>PE</x:v>
      </x:c>
      <x:c r="M25" s="300" t="n">
        <x:f>COUNTIF(C25:L25,"IT")+COUNTIF(C25:L25,"PE")+COUNTIF(C25:L25,"TD")+COUNTIF(C25:L25,"SE")+COUNTIF(C25:L25,"PP")</x:f>
        <x:v>4</x:v>
      </x:c>
      <x:c r="N25" s="300" t="n">
        <x:f>IF(C25&lt;&gt;"",2016,IF(D25&lt;&gt;"",2017,IF(E25&lt;&gt;"",2018,IF(F25&lt;&gt;"",2019,IF(G25&lt;&gt;"",2020,IF(H25&lt;&gt;"",2021,IF(I25&lt;&gt;"",2022,IF(J25&lt;&gt;"",2023,IF(K25&lt;&gt;"",2024,IF(L25&lt;&gt;"",2025,""))))))))))</x:f>
        <x:v>2017</x:v>
      </x:c>
      <x:c r="O25" s="300" t="n">
        <x:f>IF(L25&lt;&gt;"",2025,IF(K25&lt;&gt;"",2024,IF(J25&lt;&gt;"",2023,IF(I25&lt;&gt;"",2022,IF(H25&lt;&gt;"",2021,IF(G25&lt;&gt;"",2020,IF(F25&lt;&gt;"",2019,IF(E25&lt;&gt;"",2018,IF(D25&lt;&gt;"",2017,IF(C25&lt;&gt;"",2016,""))))))))))</x:f>
        <x:v>2025</x:v>
      </x:c>
      <x:c r="P25" s="299" t="str">
        <x:v>Still on the 2025 flagship</x:v>
      </x:c>
      <x:c r="Q25" s="299" t="str">
        <x:v>Still emerging / long-horizon</x:v>
      </x:c>
      <x:c r="R25" s="299" t="str">
        <x:v>By 2026 the technology remains emerging, research-heavy or constrained by economics, engineering, regulation or deployment scale.</x:v>
      </x:c>
      <x:c r="S25" s="299" t="str"/>
      <x:c r="T25" s="300" t="str">
        <x:f>IFERROR(INDEX($C25:$L25,1,MATCH($N25,$C$4:$L$4,0)),"")</x:f>
        <x:v>IT</x:v>
      </x:c>
      <x:c r="U25" s="300" t="n">
        <x:f>IFERROR(VLOOKUP(T25,'Adoption Methodology'!$F$18:$G$22,2,FALSE),"")</x:f>
        <x:v>1</x:v>
      </x:c>
      <x:c r="V25" s="299" t="str">
        <x:f>IFERROR(VLOOKUP(U25,'Adoption Methodology'!$A$5:$C$10,3,FALSE),"")</x:f>
        <x:v>≈1–5% of relevant market; prototypes, pilots or very early deployments</x:v>
      </x:c>
      <x:c r="W25" s="300" t="n">
        <x:f>IFERROR(VLOOKUP(Q25,'Adoption Methodology'!$F$5:$H$12,2,FALSE),"")</x:f>
        <x:v>1</x:v>
      </x:c>
      <x:c r="X25" s="299" t="str">
        <x:f>IFERROR(VLOOKUP(W25,'Adoption Methodology'!$A$5:$C$10,3,FALSE),"")</x:f>
        <x:v>≈1–5% of relevant market; prototypes, pilots or very early deployments</x:v>
      </x:c>
      <x:c r="Y25" s="300" t="n">
        <x:f>IF(OR(U25="",W25=""),"",W25-U25)</x:f>
        <x:v>0</x:v>
      </x:c>
      <x:c r="Z25" s="299" t="str">
        <x:f>IF(Y25="","",IF(Y25&gt;0,"Adoption increased",IF(Y25=0,"Broadly unchanged","Adoption maturity lower")))</x:f>
      </x:c>
      <x:c r="AA25" s="300" t="str">
        <x:f>IFERROR(VLOOKUP(Q25,'Adoption Methodology'!$F$5:$H$12,3,FALSE),"Medium")</x:f>
        <x:v>Medium</x:v>
      </x:c>
      <x:c r="AB25" s="299" t="str">
        <x:f>IFERROR(VLOOKUP(A25,'Adoption Methodology'!$K$5:$L$14,2,FALSE),IFERROR(VLOOKUP(B25,'Adoption Methodology'!$N$5:$O$16,2,FALSE),"https://www.gartner.com/en/information-technology/technology-adoption-roadmaps"))</x:f>
        <x:v>https://www.mckinsey.com/capabilities/quantumblack/our-insights/the-state-of-ai</x:v>
      </x:c>
      <x:c r="AC25" s="299" t="str">
        <x:f>IF(R25="","Modelled adoption maturity; see Adoption Methodology.",R25&amp;"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26">
      <x:c r="A26" s="299" t="str">
        <x:v>Augmented Connected Workforce</x:v>
      </x:c>
      <x:c r="B26" s="299" t="str">
        <x:v>Human Augmentation / Future of Work</x:v>
      </x:c>
      <x:c r="C26" s="300" t="str"/>
      <x:c r="D26" s="300" t="str"/>
      <x:c r="E26" s="300" t="str"/>
      <x:c r="F26" s="300" t="str"/>
      <x:c r="G26" s="300" t="str"/>
      <x:c r="H26" s="300" t="str"/>
      <x:c r="I26" s="300" t="str"/>
      <x:c r="J26" s="300" t="str"/>
      <x:c r="K26" s="300" t="str"/>
      <x:c r="L26" s="300" t="str">
        <x:v>PE</x:v>
      </x:c>
      <x:c r="M26" s="300" t="n">
        <x:f>COUNTIF(C26:L26,"IT")+COUNTIF(C26:L26,"PE")+COUNTIF(C26:L26,"TD")+COUNTIF(C26:L26,"SE")+COUNTIF(C26:L26,"PP")</x:f>
        <x:v>1</x:v>
      </x:c>
      <x:c r="N26" s="300" t="n">
        <x:f>IF(C26&lt;&gt;"",2016,IF(D26&lt;&gt;"",2017,IF(E26&lt;&gt;"",2018,IF(F26&lt;&gt;"",2019,IF(G26&lt;&gt;"",2020,IF(H26&lt;&gt;"",2021,IF(I26&lt;&gt;"",2022,IF(J26&lt;&gt;"",2023,IF(K26&lt;&gt;"",2024,IF(L26&lt;&gt;"",2025,""))))))))))</x:f>
        <x:v>2025</x:v>
      </x:c>
      <x:c r="O26" s="300" t="n">
        <x:f>IF(L26&lt;&gt;"",2025,IF(K26&lt;&gt;"",2024,IF(J26&lt;&gt;"",2023,IF(I26&lt;&gt;"",2022,IF(H26&lt;&gt;"",2021,IF(G26&lt;&gt;"",2020,IF(F26&lt;&gt;"",2019,IF(E26&lt;&gt;"",2018,IF(D26&lt;&gt;"",2017,IF(C26&lt;&gt;"",2016,""))))))))))</x:f>
        <x:v>2025</x:v>
      </x:c>
      <x:c r="P26" s="299" t="str">
        <x:v>Still on the 2025 flagship</x:v>
      </x:c>
      <x:c r="Q26" s="299" t="str">
        <x:v>Still emerging / evolving</x:v>
      </x:c>
      <x:c r="R26" s="299" t="str">
        <x:v>By 2026 the category is still evolving quickly; commercial adoption exists or is beginning, but maturity and durable ROI vary significantly.</x:v>
      </x:c>
      <x:c r="S26" s="299" t="str"/>
      <x:c r="T26" s="300" t="str">
        <x:f>IFERROR(INDEX($C26:$L26,1,MATCH($N26,$C$4:$L$4,0)),"")</x:f>
        <x:v>PE</x:v>
      </x:c>
      <x:c r="U26" s="300" t="n">
        <x:f>IFERROR(VLOOKUP(T26,'Adoption Methodology'!$F$18:$G$22,2,FALSE),"")</x:f>
        <x:v>2</x:v>
      </x:c>
      <x:c r="V26" s="299" t="str">
        <x:f>IFERROR(VLOOKUP(U26,'Adoption Methodology'!$A$5:$C$10,3,FALSE),"")</x:f>
        <x:v>≈5–15% of relevant market; credible deployments but limited scale</x:v>
      </x:c>
      <x:c r="W26" s="300" t="n">
        <x:f>IFERROR(VLOOKUP(Q26,'Adoption Methodology'!$F$5:$H$12,2,FALSE),"")</x:f>
        <x:v>2</x:v>
      </x:c>
      <x:c r="X26" s="299" t="str">
        <x:f>IFERROR(VLOOKUP(W26,'Adoption Methodology'!$A$5:$C$10,3,FALSE),"")</x:f>
        <x:v>≈5–15% of relevant market; credible deployments but limited scale</x:v>
      </x:c>
      <x:c r="Y26" s="300" t="n">
        <x:f>IF(OR(U26="",W26=""),"",W26-U26)</x:f>
        <x:v>0</x:v>
      </x:c>
      <x:c r="Z26" s="299" t="str">
        <x:f>IF(Y26="","",IF(Y26&gt;0,"Adoption increased",IF(Y26=0,"Broadly unchanged","Adoption maturity lower")))</x:f>
      </x:c>
      <x:c r="AA26" s="300" t="str">
        <x:f>IFERROR(VLOOKUP(Q26,'Adoption Methodology'!$F$5:$H$12,3,FALSE),"Medium")</x:f>
        <x:v>Medium</x:v>
      </x:c>
      <x:c r="AB26" s="299" t="str">
        <x:f>IFERROR(VLOOKUP(A26,'Adoption Methodology'!$K$5:$L$14,2,FALSE),IFERROR(VLOOKUP(B26,'Adoption Methodology'!$N$5:$O$16,2,FALSE),"https://www.gartner.com/en/information-technology/technology-adoption-roadmaps"))</x:f>
        <x:v>https://www.gartner.com/en/information-technology/technology-adoption-roadmaps</x:v>
      </x:c>
      <x:c r="AC26" s="299" t="str">
        <x:f>IF(R26="","Modelled adoption maturity; see Adoption Methodology.",R26&amp;"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27">
      <x:c r="A27" s="299" t="str">
        <x:v>Augmented Data Discovery</x:v>
      </x:c>
      <x:c r="B27" s="299" t="str">
        <x:v>Business / Emerging Technology</x:v>
      </x:c>
      <x:c r="C27" s="300" t="str"/>
      <x:c r="D27" s="300" t="str">
        <x:v>PE</x:v>
      </x:c>
      <x:c r="E27" s="300" t="str"/>
      <x:c r="F27" s="300" t="str"/>
      <x:c r="G27" s="300" t="str"/>
      <x:c r="H27" s="300" t="str"/>
      <x:c r="I27" s="300" t="str"/>
      <x:c r="J27" s="300" t="str"/>
      <x:c r="K27" s="300" t="str"/>
      <x:c r="L27" s="300" t="str"/>
      <x:c r="M27" s="300" t="n">
        <x:f>COUNTIF(C27:L27,"IT")+COUNTIF(C27:L27,"PE")+COUNTIF(C27:L27,"TD")+COUNTIF(C27:L27,"SE")+COUNTIF(C27:L27,"PP")</x:f>
        <x:v>1</x:v>
      </x:c>
      <x:c r="N27" s="300" t="n">
        <x:f>IF(C27&lt;&gt;"",2016,IF(D27&lt;&gt;"",2017,IF(E27&lt;&gt;"",2018,IF(F27&lt;&gt;"",2019,IF(G27&lt;&gt;"",2020,IF(H27&lt;&gt;"",2021,IF(I27&lt;&gt;"",2022,IF(J27&lt;&gt;"",2023,IF(K27&lt;&gt;"",2024,IF(L27&lt;&gt;"",2025,""))))))))))</x:f>
        <x:v>2017</x:v>
      </x:c>
      <x:c r="O27" s="300" t="n">
        <x:f>IF(L27&lt;&gt;"",2025,IF(K27&lt;&gt;"",2024,IF(J27&lt;&gt;"",2023,IF(I27&lt;&gt;"",2022,IF(H27&lt;&gt;"",2021,IF(G27&lt;&gt;"",2020,IF(F27&lt;&gt;"",2019,IF(E27&lt;&gt;"",2018,IF(D27&lt;&gt;"",2017,IF(C27&lt;&gt;"",2016,""))))))))))</x:f>
        <x:v>2017</x:v>
      </x:c>
      <x:c r="P27" s="299" t="str">
        <x:v>Exited flagship; may continue on specialist Hype Cycles</x:v>
      </x:c>
      <x:c r="Q27" s="299" t="str">
        <x:v>Hype cooled / niche</x:v>
      </x:c>
      <x:c r="R27" s="299" t="str">
        <x:v>By 2026 the original hype has materially cooled; use persists in narrower or redefined applications rather than the broad promise implied at peak.</x:v>
      </x:c>
      <x:c r="S27" s="299" t="str"/>
      <x:c r="T27" s="300" t="str">
        <x:f>IFERROR(INDEX($C27:$L27,1,MATCH($N27,$C$4:$L$4,0)),"")</x:f>
        <x:v>PE</x:v>
      </x:c>
      <x:c r="U27" s="300" t="n">
        <x:f>IFERROR(VLOOKUP(T27,'Adoption Methodology'!$F$18:$G$22,2,FALSE),"")</x:f>
        <x:v>2</x:v>
      </x:c>
      <x:c r="V27" s="299" t="str">
        <x:f>IFERROR(VLOOKUP(U27,'Adoption Methodology'!$A$5:$C$10,3,FALSE),"")</x:f>
        <x:v>≈5–15% of relevant market; credible deployments but limited scale</x:v>
      </x:c>
      <x:c r="W27" s="300" t="n">
        <x:f>IFERROR(VLOOKUP(Q27,'Adoption Methodology'!$F$5:$H$12,2,FALSE),"")</x:f>
        <x:v>2</x:v>
      </x:c>
      <x:c r="X27" s="299" t="str">
        <x:f>IFERROR(VLOOKUP(W27,'Adoption Methodology'!$A$5:$C$10,3,FALSE),"")</x:f>
        <x:v>≈5–15% of relevant market; credible deployments but limited scale</x:v>
      </x:c>
      <x:c r="Y27" s="300" t="n">
        <x:f>IF(OR(U27="",W27=""),"",W27-U27)</x:f>
        <x:v>0</x:v>
      </x:c>
      <x:c r="Z27" s="299" t="str">
        <x:f>IF(Y27="","",IF(Y27&gt;0,"Adoption increased",IF(Y27=0,"Broadly unchanged","Adoption maturity lower")))</x:f>
      </x:c>
      <x:c r="AA27" s="300" t="str">
        <x:f>IFERROR(VLOOKUP(Q27,'Adoption Methodology'!$F$5:$H$12,3,FALSE),"Medium")</x:f>
        <x:v>Medium</x:v>
      </x:c>
      <x:c r="AB27" s="299" t="str">
        <x:f>IFERROR(VLOOKUP(A27,'Adoption Methodology'!$K$5:$L$14,2,FALSE),IFERROR(VLOOKUP(B27,'Adoption Methodology'!$N$5:$O$16,2,FALSE),"https://www.gartner.com/en/information-technology/technology-adoption-roadmaps"))</x:f>
        <x:v>https://www.gartner.com/en/information-technology/technology-adoption-roadmaps</x:v>
      </x:c>
      <x:c r="AC27" s="299" t="str">
        <x:f>IF(R27="","Modelled adoption maturity; see Adoption Methodology.",R27&amp;"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28">
      <x:c r="A28" s="299" t="str">
        <x:v>Augmented FinOps</x:v>
      </x:c>
      <x:c r="B28" s="299" t="str">
        <x:v>Cloud / Software Engineering</x:v>
      </x:c>
      <x:c r="C28" s="300" t="str"/>
      <x:c r="D28" s="300" t="str"/>
      <x:c r="E28" s="300" t="str"/>
      <x:c r="F28" s="300" t="str"/>
      <x:c r="G28" s="300" t="str"/>
      <x:c r="H28" s="300" t="str"/>
      <x:c r="I28" s="300" t="str">
        <x:v>IT</x:v>
      </x:c>
      <x:c r="J28" s="300" t="str">
        <x:v>IT</x:v>
      </x:c>
      <x:c r="K28" s="300" t="str"/>
      <x:c r="L28" s="300" t="str"/>
      <x:c r="M28" s="300" t="n">
        <x:f>COUNTIF(C28:L28,"IT")+COUNTIF(C28:L28,"PE")+COUNTIF(C28:L28,"TD")+COUNTIF(C28:L28,"SE")+COUNTIF(C28:L28,"PP")</x:f>
        <x:v>2</x:v>
      </x:c>
      <x:c r="N28" s="300" t="n">
        <x:f>IF(C28&lt;&gt;"",2016,IF(D28&lt;&gt;"",2017,IF(E28&lt;&gt;"",2018,IF(F28&lt;&gt;"",2019,IF(G28&lt;&gt;"",2020,IF(H28&lt;&gt;"",2021,IF(I28&lt;&gt;"",2022,IF(J28&lt;&gt;"",2023,IF(K28&lt;&gt;"",2024,IF(L28&lt;&gt;"",2025,""))))))))))</x:f>
        <x:v>2022</x:v>
      </x:c>
      <x:c r="O28" s="300" t="n">
        <x:f>IF(L28&lt;&gt;"",2025,IF(K28&lt;&gt;"",2024,IF(J28&lt;&gt;"",2023,IF(I28&lt;&gt;"",2022,IF(H28&lt;&gt;"",2021,IF(G28&lt;&gt;"",2020,IF(F28&lt;&gt;"",2019,IF(E28&lt;&gt;"",2018,IF(D28&lt;&gt;"",2017,IF(C28&lt;&gt;"",2016,""))))))))))</x:f>
        <x:v>2023</x:v>
      </x:c>
      <x:c r="P28" s="299" t="str">
        <x:v>Exited flagship; may continue on specialist Hype Cycles</x:v>
      </x:c>
      <x:c r="Q28" s="299" t="str">
        <x:v>Established / specialist</x:v>
      </x:c>
      <x:c r="R28" s="299" t="str">
        <x:v>By 2026 there are credible production uses and vendors, but adoption is concentrated in particular workloads, industries or architectures rather than universal.</x:v>
      </x:c>
      <x:c r="S28" s="299" t="str"/>
      <x:c r="T28" s="300" t="str">
        <x:f>IFERROR(INDEX($C28:$L28,1,MATCH($N28,$C$4:$L$4,0)),"")</x:f>
        <x:v>IT</x:v>
      </x:c>
      <x:c r="U28" s="300" t="n">
        <x:f>IFERROR(VLOOKUP(T28,'Adoption Methodology'!$F$18:$G$22,2,FALSE),"")</x:f>
        <x:v>1</x:v>
      </x:c>
      <x:c r="V28" s="299" t="str">
        <x:f>IFERROR(VLOOKUP(U28,'Adoption Methodology'!$A$5:$C$10,3,FALSE),"")</x:f>
        <x:v>≈1–5% of relevant market; prototypes, pilots or very early deployments</x:v>
      </x:c>
      <x:c r="W28" s="300" t="n">
        <x:f>IFERROR(VLOOKUP(Q28,'Adoption Methodology'!$F$5:$H$12,2,FALSE),"")</x:f>
        <x:v>4</x:v>
      </x:c>
      <x:c r="X28" s="299" t="str">
        <x:f>IFERROR(VLOOKUP(W28,'Adoption Methodology'!$A$5:$C$10,3,FALSE),"")</x:f>
        <x:v>≈35–60% within the addressable segment; mature specialist use</x:v>
      </x:c>
      <x:c r="Y28" s="300" t="n">
        <x:f>IF(OR(U28="",W28=""),"",W28-U28)</x:f>
        <x:v>3</x:v>
      </x:c>
      <x:c r="Z28" s="299" t="str">
        <x:f>IF(Y28="","",IF(Y28&gt;0,"Adoption increased",IF(Y28=0,"Broadly unchanged","Adoption maturity lower")))</x:f>
        <x:v>Adoption increased</x:v>
      </x:c>
      <x:c r="AA28" s="300" t="str">
        <x:f>IFERROR(VLOOKUP(Q28,'Adoption Methodology'!$F$5:$H$12,3,FALSE),"Medium")</x:f>
        <x:v>High</x:v>
      </x:c>
      <x:c r="AB28" s="299" t="str">
        <x:f>IFERROR(VLOOKUP(A28,'Adoption Methodology'!$K$5:$L$14,2,FALSE),IFERROR(VLOOKUP(B28,'Adoption Methodology'!$N$5:$O$16,2,FALSE),"https://www.gartner.com/en/information-technology/technology-adoption-roadmaps"))</x:f>
        <x:v>https://www.cncf.io/reports/the-cncf-annual-cloud-native-survey/</x:v>
      </x:c>
      <x:c r="AC28" s="299" t="str">
        <x:f>IF(R28="","Modelled adoption maturity; see Adoption Methodology.",R28&amp;"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29">
      <x:c r="A29" s="299" t="str">
        <x:v>Augmented Intelligence</x:v>
      </x:c>
      <x:c r="B29" s="299" t="str">
        <x:v>AI / Data / Analytics</x:v>
      </x:c>
      <x:c r="C29" s="300" t="str"/>
      <x:c r="D29" s="300" t="str"/>
      <x:c r="E29" s="300" t="str"/>
      <x:c r="F29" s="300" t="str">
        <x:v>IT</x:v>
      </x:c>
      <x:c r="G29" s="300" t="str"/>
      <x:c r="H29" s="300" t="str"/>
      <x:c r="I29" s="300" t="str"/>
      <x:c r="J29" s="300" t="str"/>
      <x:c r="K29" s="300" t="str"/>
      <x:c r="L29" s="300" t="str"/>
      <x:c r="M29" s="300" t="n">
        <x:f>COUNTIF(C29:L29,"IT")+COUNTIF(C29:L29,"PE")+COUNTIF(C29:L29,"TD")+COUNTIF(C29:L29,"SE")+COUNTIF(C29:L29,"PP")</x:f>
        <x:v>1</x:v>
      </x:c>
      <x:c r="N29" s="300" t="n">
        <x:f>IF(C29&lt;&gt;"",2016,IF(D29&lt;&gt;"",2017,IF(E29&lt;&gt;"",2018,IF(F29&lt;&gt;"",2019,IF(G29&lt;&gt;"",2020,IF(H29&lt;&gt;"",2021,IF(I29&lt;&gt;"",2022,IF(J29&lt;&gt;"",2023,IF(K29&lt;&gt;"",2024,IF(L29&lt;&gt;"",2025,""))))))))))</x:f>
        <x:v>2019</x:v>
      </x:c>
      <x:c r="O29" s="300" t="n">
        <x:f>IF(L29&lt;&gt;"",2025,IF(K29&lt;&gt;"",2024,IF(J29&lt;&gt;"",2023,IF(I29&lt;&gt;"",2022,IF(H29&lt;&gt;"",2021,IF(G29&lt;&gt;"",2020,IF(F29&lt;&gt;"",2019,IF(E29&lt;&gt;"",2018,IF(D29&lt;&gt;"",2017,IF(C29&lt;&gt;"",2016,""))))))))))</x:f>
        <x:v>2019</x:v>
      </x:c>
      <x:c r="P29" s="299" t="str">
        <x:v>Exited flagship; may continue on specialist Hype Cycles</x:v>
      </x:c>
      <x:c r="Q29" s="299" t="str">
        <x:v>Superseded / absorbed</x:v>
      </x:c>
      <x:c r="R29" s="299" t="str">
        <x:v>The concept largely survives inside broader platforms, successor terminology or more specific technology categories rather than as a standalone label.</x:v>
      </x:c>
      <x:c r="S29" s="299" t="str"/>
      <x:c r="T29" s="300" t="str">
        <x:f>IFERROR(INDEX($C29:$L29,1,MATCH($N29,$C$4:$L$4,0)),"")</x:f>
        <x:v>IT</x:v>
      </x:c>
      <x:c r="U29" s="300" t="n">
        <x:f>IFERROR(VLOOKUP(T29,'Adoption Methodology'!$F$18:$G$22,2,FALSE),"")</x:f>
        <x:v>1</x:v>
      </x:c>
      <x:c r="V29" s="299" t="str">
        <x:f>IFERROR(VLOOKUP(U29,'Adoption Methodology'!$A$5:$C$10,3,FALSE),"")</x:f>
        <x:v>≈1–5% of relevant market; prototypes, pilots or very early deployments</x:v>
      </x:c>
      <x:c r="W29" s="300" t="n">
        <x:f>IFERROR(VLOOKUP(Q29,'Adoption Methodology'!$F$5:$H$12,2,FALSE),"")</x:f>
        <x:v>3</x:v>
      </x:c>
      <x:c r="X29" s="299" t="str">
        <x:f>IFERROR(VLOOKUP(W29,'Adoption Methodology'!$A$5:$C$10,3,FALSE),"")</x:f>
        <x:v>≈15–35% of relevant market, or capability absorbed into successor platforms</x:v>
      </x:c>
      <x:c r="Y29" s="300" t="n">
        <x:f>IF(OR(U29="",W29=""),"",W29-U29)</x:f>
        <x:v>2</x:v>
      </x:c>
      <x:c r="Z29" s="299" t="str">
        <x:f>IF(Y29="","",IF(Y29&gt;0,"Adoption increased",IF(Y29=0,"Broadly unchanged","Adoption maturity lower")))</x:f>
        <x:v>Adoption increased</x:v>
      </x:c>
      <x:c r="AA29" s="300" t="str">
        <x:f>IFERROR(VLOOKUP(Q29,'Adoption Methodology'!$F$5:$H$12,3,FALSE),"Medium")</x:f>
        <x:v>Medium-Low</x:v>
      </x:c>
      <x:c r="AB29" s="299" t="str">
        <x:f>IFERROR(VLOOKUP(A29,'Adoption Methodology'!$K$5:$L$14,2,FALSE),IFERROR(VLOOKUP(B29,'Adoption Methodology'!$N$5:$O$16,2,FALSE),"https://www.gartner.com/en/information-technology/technology-adoption-roadmaps"))</x:f>
        <x:v>https://www.mckinsey.com/capabilities/quantumblack/our-insights/the-state-of-ai</x:v>
      </x:c>
      <x:c r="AC29" s="299" t="str">
        <x:f>IF(R29="","Modelled adoption maturity; see Adoption Methodology.",R29&amp;"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30">
      <x:c r="A30" s="299" t="str">
        <x:v>Augmented Reality</x:v>
      </x:c>
      <x:c r="B30" s="299" t="str">
        <x:v>Experience / Spatial Computing</x:v>
      </x:c>
      <x:c r="C30" s="300" t="str">
        <x:v>TD</x:v>
      </x:c>
      <x:c r="D30" s="300" t="str">
        <x:v>TD</x:v>
      </x:c>
      <x:c r="E30" s="300" t="str">
        <x:v>TD</x:v>
      </x:c>
      <x:c r="F30" s="300" t="str"/>
      <x:c r="G30" s="300" t="str"/>
      <x:c r="H30" s="300" t="str"/>
      <x:c r="I30" s="300" t="str"/>
      <x:c r="J30" s="300" t="str"/>
      <x:c r="K30" s="300" t="str"/>
      <x:c r="L30" s="300" t="str"/>
      <x:c r="M30" s="300" t="n">
        <x:f>COUNTIF(C30:L30,"IT")+COUNTIF(C30:L30,"PE")+COUNTIF(C30:L30,"TD")+COUNTIF(C30:L30,"SE")+COUNTIF(C30:L30,"PP")</x:f>
        <x:v>3</x:v>
      </x:c>
      <x:c r="N30" s="300" t="n">
        <x:f>IF(C30&lt;&gt;"",2016,IF(D30&lt;&gt;"",2017,IF(E30&lt;&gt;"",2018,IF(F30&lt;&gt;"",2019,IF(G30&lt;&gt;"",2020,IF(H30&lt;&gt;"",2021,IF(I30&lt;&gt;"",2022,IF(J30&lt;&gt;"",2023,IF(K30&lt;&gt;"",2024,IF(L30&lt;&gt;"",2025,""))))))))))</x:f>
        <x:v>2016</x:v>
      </x:c>
      <x:c r="O30" s="300" t="n">
        <x:f>IF(L30&lt;&gt;"",2025,IF(K30&lt;&gt;"",2024,IF(J30&lt;&gt;"",2023,IF(I30&lt;&gt;"",2022,IF(H30&lt;&gt;"",2021,IF(G30&lt;&gt;"",2020,IF(F30&lt;&gt;"",2019,IF(E30&lt;&gt;"",2018,IF(D30&lt;&gt;"",2017,IF(C30&lt;&gt;"",2016,""))))))))))</x:f>
        <x:v>2018</x:v>
      </x:c>
      <x:c r="P30" s="299" t="str">
        <x:v>Exited flagship; may continue on specialist Hype Cycles</x:v>
      </x:c>
      <x:c r="Q30" s="299" t="str">
        <x:v>Established / mainstream</x:v>
      </x:c>
      <x:c r="R30" s="299" t="str">
        <x:v>By 2026 this capability is commercially established or embedded in mainstream enterprise/consumer technology, even if the original Gartner label is no longer prominent.</x:v>
      </x:c>
      <x:c r="S30" s="299" t="str"/>
      <x:c r="T30" s="300" t="str">
        <x:f>IFERROR(INDEX($C30:$L30,1,MATCH($N30,$C$4:$L$4,0)),"")</x:f>
        <x:v>TD</x:v>
      </x:c>
      <x:c r="U30" s="300" t="n">
        <x:f>IFERROR(VLOOKUP(T30,'Adoption Methodology'!$F$18:$G$22,2,FALSE),"")</x:f>
        <x:v>2</x:v>
      </x:c>
      <x:c r="V30" s="299" t="str">
        <x:f>IFERROR(VLOOKUP(U30,'Adoption Methodology'!$A$5:$C$10,3,FALSE),"")</x:f>
        <x:v>≈5–15% of relevant market; credible deployments but limited scale</x:v>
      </x:c>
      <x:c r="W30" s="300" t="n">
        <x:f>IFERROR(VLOOKUP(Q30,'Adoption Methodology'!$F$5:$H$12,2,FALSE),"")</x:f>
        <x:v>5</x:v>
      </x:c>
      <x:c r="X30" s="299" t="str">
        <x:f>IFERROR(VLOOKUP(W30,'Adoption Methodology'!$A$5:$C$10,3,FALSE),"")</x:f>
        <x:v>&gt;60% in leading/addressable segments, or effectively a standard/default capability</x:v>
      </x:c>
      <x:c r="Y30" s="300" t="n">
        <x:f>IF(OR(U30="",W30=""),"",W30-U30)</x:f>
        <x:v>3</x:v>
      </x:c>
      <x:c r="Z30" s="299" t="str">
        <x:f>IF(Y30="","",IF(Y30&gt;0,"Adoption increased",IF(Y30=0,"Broadly unchanged","Adoption maturity lower")))</x:f>
        <x:v>Adoption increased</x:v>
      </x:c>
      <x:c r="AA30" s="300" t="str">
        <x:f>IFERROR(VLOOKUP(Q30,'Adoption Methodology'!$F$5:$H$12,3,FALSE),"Medium")</x:f>
        <x:v>High</x:v>
      </x:c>
      <x:c r="AB30" s="299" t="str">
        <x:f>IFERROR(VLOOKUP(A30,'Adoption Methodology'!$K$5:$L$14,2,FALSE),IFERROR(VLOOKUP(B30,'Adoption Methodology'!$N$5:$O$16,2,FALSE),"https://www.gartner.com/en/information-technology/technology-adoption-roadmaps"))</x:f>
        <x:v>https://www.mckinsey.com/featured-insights/mckinsey-explainers/what-is-digital-twin-technology</x:v>
      </x:c>
      <x:c r="AC30" s="299" t="str">
        <x:f>IF(R30="","Modelled adoption maturity; see Adoption Methodology.",R30&amp;"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31">
      <x:c r="A31" s="299" t="str">
        <x:v>Authenticated Provenance</x:v>
      </x:c>
      <x:c r="B31" s="299" t="str">
        <x:v>Security / Privacy</x:v>
      </x:c>
      <x:c r="C31" s="300" t="str"/>
      <x:c r="D31" s="300" t="str"/>
      <x:c r="E31" s="300" t="str"/>
      <x:c r="F31" s="300" t="str"/>
      <x:c r="G31" s="300" t="str">
        <x:v>IT</x:v>
      </x:c>
      <x:c r="H31" s="300" t="str"/>
      <x:c r="I31" s="300" t="str"/>
      <x:c r="J31" s="300" t="str"/>
      <x:c r="K31" s="300" t="str"/>
      <x:c r="L31" s="300" t="str"/>
      <x:c r="M31" s="300" t="n">
        <x:f>COUNTIF(C31:L31,"IT")+COUNTIF(C31:L31,"PE")+COUNTIF(C31:L31,"TD")+COUNTIF(C31:L31,"SE")+COUNTIF(C31:L31,"PP")</x:f>
        <x:v>1</x:v>
      </x:c>
      <x:c r="N31" s="300" t="n">
        <x:f>IF(C31&lt;&gt;"",2016,IF(D31&lt;&gt;"",2017,IF(E31&lt;&gt;"",2018,IF(F31&lt;&gt;"",2019,IF(G31&lt;&gt;"",2020,IF(H31&lt;&gt;"",2021,IF(I31&lt;&gt;"",2022,IF(J31&lt;&gt;"",2023,IF(K31&lt;&gt;"",2024,IF(L31&lt;&gt;"",2025,""))))))))))</x:f>
        <x:v>2020</x:v>
      </x:c>
      <x:c r="O31" s="300" t="n">
        <x:f>IF(L31&lt;&gt;"",2025,IF(K31&lt;&gt;"",2024,IF(J31&lt;&gt;"",2023,IF(I31&lt;&gt;"",2022,IF(H31&lt;&gt;"",2021,IF(G31&lt;&gt;"",2020,IF(F31&lt;&gt;"",2019,IF(E31&lt;&gt;"",2018,IF(D31&lt;&gt;"",2017,IF(C31&lt;&gt;"",2016,""))))))))))</x:f>
        <x:v>2020</x:v>
      </x:c>
      <x:c r="P31" s="299" t="str">
        <x:v>Exited flagship; may continue on specialist Hype Cycles</x:v>
      </x:c>
      <x:c r="Q31" s="299" t="str">
        <x:v>Exited flagship / specialist</x:v>
      </x:c>
      <x:c r="R31" s="299" t="str">
        <x:v>The label left the flagship cycle and is now best viewed as specialist, absorbed into adjacent categories, or lower-profile rather than a simple success/failure.</x:v>
      </x:c>
      <x:c r="S31" s="299" t="str"/>
      <x:c r="T31" s="300" t="str">
        <x:f>IFERROR(INDEX($C31:$L31,1,MATCH($N31,$C$4:$L$4,0)),"")</x:f>
        <x:v>IT</x:v>
      </x:c>
      <x:c r="U31" s="300" t="n">
        <x:f>IFERROR(VLOOKUP(T31,'Adoption Methodology'!$F$18:$G$22,2,FALSE),"")</x:f>
        <x:v>1</x:v>
      </x:c>
      <x:c r="V31" s="299" t="str">
        <x:f>IFERROR(VLOOKUP(U31,'Adoption Methodology'!$A$5:$C$10,3,FALSE),"")</x:f>
        <x:v>≈1–5% of relevant market; prototypes, pilots or very early deployments</x:v>
      </x:c>
      <x:c r="W31" s="300" t="n">
        <x:f>IFERROR(VLOOKUP(Q31,'Adoption Methodology'!$F$5:$H$12,2,FALSE),"")</x:f>
        <x:v>3</x:v>
      </x:c>
      <x:c r="X31" s="299" t="str">
        <x:f>IFERROR(VLOOKUP(W31,'Adoption Methodology'!$A$5:$C$10,3,FALSE),"")</x:f>
        <x:v>≈15–35% of relevant market, or capability absorbed into successor platforms</x:v>
      </x:c>
      <x:c r="Y31" s="300" t="n">
        <x:f>IF(OR(U31="",W31=""),"",W31-U31)</x:f>
        <x:v>2</x:v>
      </x:c>
      <x:c r="Z31" s="299" t="str">
        <x:f>IF(Y31="","",IF(Y31&gt;0,"Adoption increased",IF(Y31=0,"Broadly unchanged","Adoption maturity lower")))</x:f>
        <x:v>Adoption increased</x:v>
      </x:c>
      <x:c r="AA31" s="300" t="str">
        <x:f>IFERROR(VLOOKUP(Q31,'Adoption Methodology'!$F$5:$H$12,3,FALSE),"Medium")</x:f>
        <x:v>Medium</x:v>
      </x:c>
      <x:c r="AB31" s="299" t="str">
        <x:f>IFERROR(VLOOKUP(A31,'Adoption Methodology'!$K$5:$L$14,2,FALSE),IFERROR(VLOOKUP(B31,'Adoption Methodology'!$N$5:$O$16,2,FALSE),"https://www.gartner.com/en/information-technology/technology-adoption-roadmaps"))</x:f>
        <x:v>https://www.gartner.com/en/information-technology/technology-adoption-roadmaps</x:v>
      </x:c>
      <x:c r="AC31" s="299" t="str">
        <x:f>IF(R31="","Modelled adoption maturity; see Adoption Methodology.",R31&amp;"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32">
      <x:c r="A32" s="299" t="str">
        <x:v>Autonomic Systems</x:v>
      </x:c>
      <x:c r="B32" s="299" t="str">
        <x:v>Business / Emerging Technology</x:v>
      </x:c>
      <x:c r="C32" s="300" t="str"/>
      <x:c r="D32" s="300" t="str"/>
      <x:c r="E32" s="300" t="str"/>
      <x:c r="F32" s="300" t="str"/>
      <x:c r="G32" s="300" t="str"/>
      <x:c r="H32" s="300" t="str"/>
      <x:c r="I32" s="300" t="str">
        <x:v>IT</x:v>
      </x:c>
      <x:c r="J32" s="300" t="str"/>
      <x:c r="K32" s="300" t="str"/>
      <x:c r="L32" s="300" t="str"/>
      <x:c r="M32" s="300" t="n">
        <x:f>COUNTIF(C32:L32,"IT")+COUNTIF(C32:L32,"PE")+COUNTIF(C32:L32,"TD")+COUNTIF(C32:L32,"SE")+COUNTIF(C32:L32,"PP")</x:f>
        <x:v>1</x:v>
      </x:c>
      <x:c r="N32" s="300" t="n">
        <x:f>IF(C32&lt;&gt;"",2016,IF(D32&lt;&gt;"",2017,IF(E32&lt;&gt;"",2018,IF(F32&lt;&gt;"",2019,IF(G32&lt;&gt;"",2020,IF(H32&lt;&gt;"",2021,IF(I32&lt;&gt;"",2022,IF(J32&lt;&gt;"",2023,IF(K32&lt;&gt;"",2024,IF(L32&lt;&gt;"",2025,""))))))))))</x:f>
        <x:v>2022</x:v>
      </x:c>
      <x:c r="O32" s="300" t="n">
        <x:f>IF(L32&lt;&gt;"",2025,IF(K32&lt;&gt;"",2024,IF(J32&lt;&gt;"",2023,IF(I32&lt;&gt;"",2022,IF(H32&lt;&gt;"",2021,IF(G32&lt;&gt;"",2020,IF(F32&lt;&gt;"",2019,IF(E32&lt;&gt;"",2018,IF(D32&lt;&gt;"",2017,IF(C32&lt;&gt;"",2016,""))))))))))</x:f>
        <x:v>2022</x:v>
      </x:c>
      <x:c r="P32" s="299" t="str">
        <x:v>Exited flagship; may continue on specialist Hype Cycles</x:v>
      </x:c>
      <x:c r="Q32" s="299" t="str">
        <x:v>Superseded / absorbed</x:v>
      </x:c>
      <x:c r="R32" s="299" t="str">
        <x:v>The concept largely survives inside broader platforms, successor terminology or more specific technology categories rather than as a standalone label.</x:v>
      </x:c>
      <x:c r="S32" s="299" t="str"/>
      <x:c r="T32" s="300" t="str">
        <x:f>IFERROR(INDEX($C32:$L32,1,MATCH($N32,$C$4:$L$4,0)),"")</x:f>
        <x:v>IT</x:v>
      </x:c>
      <x:c r="U32" s="300" t="n">
        <x:f>IFERROR(VLOOKUP(T32,'Adoption Methodology'!$F$18:$G$22,2,FALSE),"")</x:f>
        <x:v>1</x:v>
      </x:c>
      <x:c r="V32" s="299" t="str">
        <x:f>IFERROR(VLOOKUP(U32,'Adoption Methodology'!$A$5:$C$10,3,FALSE),"")</x:f>
        <x:v>≈1–5% of relevant market; prototypes, pilots or very early deployments</x:v>
      </x:c>
      <x:c r="W32" s="300" t="n">
        <x:f>IFERROR(VLOOKUP(Q32,'Adoption Methodology'!$F$5:$H$12,2,FALSE),"")</x:f>
        <x:v>3</x:v>
      </x:c>
      <x:c r="X32" s="299" t="str">
        <x:f>IFERROR(VLOOKUP(W32,'Adoption Methodology'!$A$5:$C$10,3,FALSE),"")</x:f>
        <x:v>≈15–35% of relevant market, or capability absorbed into successor platforms</x:v>
      </x:c>
      <x:c r="Y32" s="300" t="n">
        <x:f>IF(OR(U32="",W32=""),"",W32-U32)</x:f>
        <x:v>2</x:v>
      </x:c>
      <x:c r="Z32" s="299" t="str">
        <x:f>IF(Y32="","",IF(Y32&gt;0,"Adoption increased",IF(Y32=0,"Broadly unchanged","Adoption maturity lower")))</x:f>
        <x:v>Adoption increased</x:v>
      </x:c>
      <x:c r="AA32" s="300" t="str">
        <x:f>IFERROR(VLOOKUP(Q32,'Adoption Methodology'!$F$5:$H$12,3,FALSE),"Medium")</x:f>
        <x:v>Medium-Low</x:v>
      </x:c>
      <x:c r="AB32" s="299" t="str">
        <x:f>IFERROR(VLOOKUP(A32,'Adoption Methodology'!$K$5:$L$14,2,FALSE),IFERROR(VLOOKUP(B32,'Adoption Methodology'!$N$5:$O$16,2,FALSE),"https://www.gartner.com/en/information-technology/technology-adoption-roadmaps"))</x:f>
        <x:v>https://www.gartner.com/en/information-technology/technology-adoption-roadmaps</x:v>
      </x:c>
      <x:c r="AC32" s="299" t="str">
        <x:f>IF(R32="","Modelled adoption maturity; see Adoption Methodology.",R32&amp;"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33">
      <x:c r="A33" s="299" t="str">
        <x:v>Autonomous Agents</x:v>
      </x:c>
      <x:c r="B33" s="299" t="str">
        <x:v>Autonomy / Robotics</x:v>
      </x:c>
      <x:c r="C33" s="300" t="str"/>
      <x:c r="D33" s="300" t="str"/>
      <x:c r="E33" s="300" t="str"/>
      <x:c r="F33" s="300" t="str"/>
      <x:c r="G33" s="300" t="str"/>
      <x:c r="H33" s="300" t="str"/>
      <x:c r="I33" s="300" t="str"/>
      <x:c r="J33" s="300" t="str"/>
      <x:c r="K33" s="300" t="str">
        <x:v>IT</x:v>
      </x:c>
      <x:c r="L33" s="300" t="str"/>
      <x:c r="M33" s="300" t="n">
        <x:f>COUNTIF(C33:L33,"IT")+COUNTIF(C33:L33,"PE")+COUNTIF(C33:L33,"TD")+COUNTIF(C33:L33,"SE")+COUNTIF(C33:L33,"PP")</x:f>
        <x:v>1</x:v>
      </x:c>
      <x:c r="N33" s="300" t="n">
        <x:f>IF(C33&lt;&gt;"",2016,IF(D33&lt;&gt;"",2017,IF(E33&lt;&gt;"",2018,IF(F33&lt;&gt;"",2019,IF(G33&lt;&gt;"",2020,IF(H33&lt;&gt;"",2021,IF(I33&lt;&gt;"",2022,IF(J33&lt;&gt;"",2023,IF(K33&lt;&gt;"",2024,IF(L33&lt;&gt;"",2025,""))))))))))</x:f>
        <x:v>2024</x:v>
      </x:c>
      <x:c r="O33" s="300" t="n">
        <x:f>IF(L33&lt;&gt;"",2025,IF(K33&lt;&gt;"",2024,IF(J33&lt;&gt;"",2023,IF(I33&lt;&gt;"",2022,IF(H33&lt;&gt;"",2021,IF(G33&lt;&gt;"",2020,IF(F33&lt;&gt;"",2019,IF(E33&lt;&gt;"",2018,IF(D33&lt;&gt;"",2017,IF(C33&lt;&gt;"",2016,""))))))))))</x:f>
        <x:v>2024</x:v>
      </x:c>
      <x:c r="P33" s="299" t="str">
        <x:v>Exited flagship; may continue on specialist Hype Cycles</x:v>
      </x:c>
      <x:c r="Q33" s="299" t="str">
        <x:v>Still emerging / evolving</x:v>
      </x:c>
      <x:c r="R33" s="299" t="str">
        <x:v>By 2026 the category is still evolving quickly; commercial adoption exists or is beginning, but maturity and durable ROI vary significantly.</x:v>
      </x:c>
      <x:c r="S33" s="299" t="str"/>
      <x:c r="T33" s="300" t="str">
        <x:f>IFERROR(INDEX($C33:$L33,1,MATCH($N33,$C$4:$L$4,0)),"")</x:f>
        <x:v>IT</x:v>
      </x:c>
      <x:c r="U33" s="300" t="n">
        <x:f>IFERROR(VLOOKUP(T33,'Adoption Methodology'!$F$18:$G$22,2,FALSE),"")</x:f>
        <x:v>1</x:v>
      </x:c>
      <x:c r="V33" s="299" t="str">
        <x:f>IFERROR(VLOOKUP(U33,'Adoption Methodology'!$A$5:$C$10,3,FALSE),"")</x:f>
        <x:v>≈1–5% of relevant market; prototypes, pilots or very early deployments</x:v>
      </x:c>
      <x:c r="W33" s="300" t="n">
        <x:f>IFERROR(VLOOKUP(Q33,'Adoption Methodology'!$F$5:$H$12,2,FALSE),"")</x:f>
        <x:v>2</x:v>
      </x:c>
      <x:c r="X33" s="299" t="str">
        <x:f>IFERROR(VLOOKUP(W33,'Adoption Methodology'!$A$5:$C$10,3,FALSE),"")</x:f>
        <x:v>≈5–15% of relevant market; credible deployments but limited scale</x:v>
      </x:c>
      <x:c r="Y33" s="300" t="n">
        <x:f>IF(OR(U33="",W33=""),"",W33-U33)</x:f>
        <x:v>1</x:v>
      </x:c>
      <x:c r="Z33" s="299" t="str">
        <x:f>IF(Y33="","",IF(Y33&gt;0,"Adoption increased",IF(Y33=0,"Broadly unchanged","Adoption maturity lower")))</x:f>
        <x:v>Adoption increased</x:v>
      </x:c>
      <x:c r="AA33" s="300" t="str">
        <x:f>IFERROR(VLOOKUP(Q33,'Adoption Methodology'!$F$5:$H$12,3,FALSE),"Medium")</x:f>
        <x:v>Medium</x:v>
      </x:c>
      <x:c r="AB33" s="299" t="str">
        <x:f>IFERROR(VLOOKUP(A33,'Adoption Methodology'!$K$5:$L$14,2,FALSE),IFERROR(VLOOKUP(B33,'Adoption Methodology'!$N$5:$O$16,2,FALSE),"https://www.gartner.com/en/information-technology/technology-adoption-roadmaps"))</x:f>
        <x:v>https://ifr.org/worldrobotics/report-2025</x:v>
      </x:c>
      <x:c r="AC33" s="299" t="str">
        <x:f>IF(R33="","Modelled adoption maturity; see Adoption Methodology.",R33&amp;"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34">
      <x:c r="A34" s="299" t="str">
        <x:v>Autonomous Driving Level 4</x:v>
      </x:c>
      <x:c r="B34" s="299" t="str">
        <x:v>Autonomy / Robotics</x:v>
      </x:c>
      <x:c r="C34" s="300" t="str"/>
      <x:c r="D34" s="300" t="str"/>
      <x:c r="E34" s="300" t="str">
        <x:v>TD</x:v>
      </x:c>
      <x:c r="F34" s="300" t="str">
        <x:v>TD</x:v>
      </x:c>
      <x:c r="G34" s="300" t="str"/>
      <x:c r="H34" s="300" t="str"/>
      <x:c r="I34" s="300" t="str"/>
      <x:c r="J34" s="300" t="str"/>
      <x:c r="K34" s="300" t="str"/>
      <x:c r="L34" s="300" t="str"/>
      <x:c r="M34" s="300" t="n">
        <x:f>COUNTIF(C34:L34,"IT")+COUNTIF(C34:L34,"PE")+COUNTIF(C34:L34,"TD")+COUNTIF(C34:L34,"SE")+COUNTIF(C34:L34,"PP")</x:f>
        <x:v>2</x:v>
      </x:c>
      <x:c r="N34" s="300" t="n">
        <x:f>IF(C34&lt;&gt;"",2016,IF(D34&lt;&gt;"",2017,IF(E34&lt;&gt;"",2018,IF(F34&lt;&gt;"",2019,IF(G34&lt;&gt;"",2020,IF(H34&lt;&gt;"",2021,IF(I34&lt;&gt;"",2022,IF(J34&lt;&gt;"",2023,IF(K34&lt;&gt;"",2024,IF(L34&lt;&gt;"",2025,""))))))))))</x:f>
        <x:v>2018</x:v>
      </x:c>
      <x:c r="O34" s="300" t="n">
        <x:f>IF(L34&lt;&gt;"",2025,IF(K34&lt;&gt;"",2024,IF(J34&lt;&gt;"",2023,IF(I34&lt;&gt;"",2022,IF(H34&lt;&gt;"",2021,IF(G34&lt;&gt;"",2020,IF(F34&lt;&gt;"",2019,IF(E34&lt;&gt;"",2018,IF(D34&lt;&gt;"",2017,IF(C34&lt;&gt;"",2016,""))))))))))</x:f>
        <x:v>2019</x:v>
      </x:c>
      <x:c r="P34" s="299" t="str">
        <x:v>Exited flagship; may continue on specialist Hype Cycles</x:v>
      </x:c>
      <x:c r="Q34" s="299" t="str">
        <x:v>Exited flagship / specialist</x:v>
      </x:c>
      <x:c r="R34" s="299" t="str">
        <x:v>The label left the flagship cycle and is now best viewed as specialist, absorbed into adjacent categories, or lower-profile rather than a simple success/failure.</x:v>
      </x:c>
      <x:c r="S34" s="299" t="str">
        <x:v>Successor granularity to the earlier Autonomous Vehicles label.</x:v>
      </x:c>
      <x:c r="T34" s="300" t="str">
        <x:f>IFERROR(INDEX($C34:$L34,1,MATCH($N34,$C$4:$L$4,0)),"")</x:f>
        <x:v>TD</x:v>
      </x:c>
      <x:c r="U34" s="300" t="n">
        <x:f>IFERROR(VLOOKUP(T34,'Adoption Methodology'!$F$18:$G$22,2,FALSE),"")</x:f>
        <x:v>2</x:v>
      </x:c>
      <x:c r="V34" s="299" t="str">
        <x:f>IFERROR(VLOOKUP(U34,'Adoption Methodology'!$A$5:$C$10,3,FALSE),"")</x:f>
        <x:v>≈5–15% of relevant market; credible deployments but limited scale</x:v>
      </x:c>
      <x:c r="W34" s="300" t="n">
        <x:f>IFERROR(VLOOKUP(Q34,'Adoption Methodology'!$F$5:$H$12,2,FALSE),"")</x:f>
        <x:v>3</x:v>
      </x:c>
      <x:c r="X34" s="299" t="str">
        <x:f>IFERROR(VLOOKUP(W34,'Adoption Methodology'!$A$5:$C$10,3,FALSE),"")</x:f>
        <x:v>≈15–35% of relevant market, or capability absorbed into successor platforms</x:v>
      </x:c>
      <x:c r="Y34" s="300" t="n">
        <x:f>IF(OR(U34="",W34=""),"",W34-U34)</x:f>
        <x:v>1</x:v>
      </x:c>
      <x:c r="Z34" s="299" t="str">
        <x:f>IF(Y34="","",IF(Y34&gt;0,"Adoption increased",IF(Y34=0,"Broadly unchanged","Adoption maturity lower")))</x:f>
        <x:v>Adoption increased</x:v>
      </x:c>
      <x:c r="AA34" s="300" t="str">
        <x:f>IFERROR(VLOOKUP(Q34,'Adoption Methodology'!$F$5:$H$12,3,FALSE),"Medium")</x:f>
        <x:v>Medium</x:v>
      </x:c>
      <x:c r="AB34" s="299" t="str">
        <x:f>IFERROR(VLOOKUP(A34,'Adoption Methodology'!$K$5:$L$14,2,FALSE),IFERROR(VLOOKUP(B34,'Adoption Methodology'!$N$5:$O$16,2,FALSE),"https://www.gartner.com/en/information-technology/technology-adoption-roadmaps"))</x:f>
        <x:v>https://ifr.org/worldrobotics/report-2025</x:v>
      </x:c>
      <x:c r="AC34" s="299" t="str">
        <x:f>IF(R34="","Modelled adoption maturity; see Adoption Methodology.",R34&amp;"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35">
      <x:c r="A35" s="299" t="str">
        <x:v>Autonomous Driving Level 5</x:v>
      </x:c>
      <x:c r="B35" s="299" t="str">
        <x:v>Autonomy / Robotics</x:v>
      </x:c>
      <x:c r="C35" s="300" t="str"/>
      <x:c r="D35" s="300" t="str"/>
      <x:c r="E35" s="300" t="str">
        <x:v>IT</x:v>
      </x:c>
      <x:c r="F35" s="300" t="str">
        <x:v>PE</x:v>
      </x:c>
      <x:c r="G35" s="300" t="str"/>
      <x:c r="H35" s="300" t="str"/>
      <x:c r="I35" s="300" t="str"/>
      <x:c r="J35" s="300" t="str"/>
      <x:c r="K35" s="300" t="str"/>
      <x:c r="L35" s="300" t="str"/>
      <x:c r="M35" s="300" t="n">
        <x:f>COUNTIF(C35:L35,"IT")+COUNTIF(C35:L35,"PE")+COUNTIF(C35:L35,"TD")+COUNTIF(C35:L35,"SE")+COUNTIF(C35:L35,"PP")</x:f>
        <x:v>2</x:v>
      </x:c>
      <x:c r="N35" s="300" t="n">
        <x:f>IF(C35&lt;&gt;"",2016,IF(D35&lt;&gt;"",2017,IF(E35&lt;&gt;"",2018,IF(F35&lt;&gt;"",2019,IF(G35&lt;&gt;"",2020,IF(H35&lt;&gt;"",2021,IF(I35&lt;&gt;"",2022,IF(J35&lt;&gt;"",2023,IF(K35&lt;&gt;"",2024,IF(L35&lt;&gt;"",2025,""))))))))))</x:f>
        <x:v>2018</x:v>
      </x:c>
      <x:c r="O35" s="300" t="n">
        <x:f>IF(L35&lt;&gt;"",2025,IF(K35&lt;&gt;"",2024,IF(J35&lt;&gt;"",2023,IF(I35&lt;&gt;"",2022,IF(H35&lt;&gt;"",2021,IF(G35&lt;&gt;"",2020,IF(F35&lt;&gt;"",2019,IF(E35&lt;&gt;"",2018,IF(D35&lt;&gt;"",2017,IF(C35&lt;&gt;"",2016,""))))))))))</x:f>
        <x:v>2019</x:v>
      </x:c>
      <x:c r="P35" s="299" t="str">
        <x:v>Exited flagship; may continue on specialist Hype Cycles</x:v>
      </x:c>
      <x:c r="Q35" s="299" t="str">
        <x:v>Still emerging / long-horizon</x:v>
      </x:c>
      <x:c r="R35" s="299" t="str">
        <x:v>By 2026 the technology remains emerging, research-heavy or constrained by economics, engineering, regulation or deployment scale.</x:v>
      </x:c>
      <x:c r="S35" s="299" t="str">
        <x:v>Successor granularity to the earlier Autonomous Vehicles label.</x:v>
      </x:c>
      <x:c r="T35" s="300" t="str">
        <x:f>IFERROR(INDEX($C35:$L35,1,MATCH($N35,$C$4:$L$4,0)),"")</x:f>
        <x:v>IT</x:v>
      </x:c>
      <x:c r="U35" s="300" t="n">
        <x:f>IFERROR(VLOOKUP(T35,'Adoption Methodology'!$F$18:$G$22,2,FALSE),"")</x:f>
        <x:v>1</x:v>
      </x:c>
      <x:c r="V35" s="299" t="str">
        <x:f>IFERROR(VLOOKUP(U35,'Adoption Methodology'!$A$5:$C$10,3,FALSE),"")</x:f>
        <x:v>≈1–5% of relevant market; prototypes, pilots or very early deployments</x:v>
      </x:c>
      <x:c r="W35" s="300" t="n">
        <x:f>IFERROR(VLOOKUP(Q35,'Adoption Methodology'!$F$5:$H$12,2,FALSE),"")</x:f>
        <x:v>1</x:v>
      </x:c>
      <x:c r="X35" s="299" t="str">
        <x:f>IFERROR(VLOOKUP(W35,'Adoption Methodology'!$A$5:$C$10,3,FALSE),"")</x:f>
        <x:v>≈1–5% of relevant market; prototypes, pilots or very early deployments</x:v>
      </x:c>
      <x:c r="Y35" s="300" t="n">
        <x:f>IF(OR(U35="",W35=""),"",W35-U35)</x:f>
        <x:v>0</x:v>
      </x:c>
      <x:c r="Z35" s="299" t="str">
        <x:f>IF(Y35="","",IF(Y35&gt;0,"Adoption increased",IF(Y35=0,"Broadly unchanged","Adoption maturity lower")))</x:f>
      </x:c>
      <x:c r="AA35" s="300" t="str">
        <x:f>IFERROR(VLOOKUP(Q35,'Adoption Methodology'!$F$5:$H$12,3,FALSE),"Medium")</x:f>
        <x:v>Medium</x:v>
      </x:c>
      <x:c r="AB35" s="299" t="str">
        <x:f>IFERROR(VLOOKUP(A35,'Adoption Methodology'!$K$5:$L$14,2,FALSE),IFERROR(VLOOKUP(B35,'Adoption Methodology'!$N$5:$O$16,2,FALSE),"https://www.gartner.com/en/information-technology/technology-adoption-roadmaps"))</x:f>
        <x:v>https://ifr.org/worldrobotics/report-2025</x:v>
      </x:c>
      <x:c r="AC35" s="299" t="str">
        <x:f>IF(R35="","Modelled adoption maturity; see Adoption Methodology.",R35&amp;"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36">
      <x:c r="A36" s="299" t="str">
        <x:v>Autonomous Mobile Robots</x:v>
      </x:c>
      <x:c r="B36" s="299" t="str">
        <x:v>Autonomy / Robotics</x:v>
      </x:c>
      <x:c r="C36" s="300" t="str"/>
      <x:c r="D36" s="300" t="str"/>
      <x:c r="E36" s="300" t="str">
        <x:v>PE</x:v>
      </x:c>
      <x:c r="F36" s="300" t="str"/>
      <x:c r="G36" s="300" t="str"/>
      <x:c r="H36" s="300" t="str"/>
      <x:c r="I36" s="300" t="str"/>
      <x:c r="J36" s="300" t="str"/>
      <x:c r="K36" s="300" t="str"/>
      <x:c r="L36" s="300" t="str"/>
      <x:c r="M36" s="300" t="n">
        <x:f>COUNTIF(C36:L36,"IT")+COUNTIF(C36:L36,"PE")+COUNTIF(C36:L36,"TD")+COUNTIF(C36:L36,"SE")+COUNTIF(C36:L36,"PP")</x:f>
        <x:v>1</x:v>
      </x:c>
      <x:c r="N36" s="300" t="n">
        <x:f>IF(C36&lt;&gt;"",2016,IF(D36&lt;&gt;"",2017,IF(E36&lt;&gt;"",2018,IF(F36&lt;&gt;"",2019,IF(G36&lt;&gt;"",2020,IF(H36&lt;&gt;"",2021,IF(I36&lt;&gt;"",2022,IF(J36&lt;&gt;"",2023,IF(K36&lt;&gt;"",2024,IF(L36&lt;&gt;"",2025,""))))))))))</x:f>
        <x:v>2018</x:v>
      </x:c>
      <x:c r="O36" s="300" t="n">
        <x:f>IF(L36&lt;&gt;"",2025,IF(K36&lt;&gt;"",2024,IF(J36&lt;&gt;"",2023,IF(I36&lt;&gt;"",2022,IF(H36&lt;&gt;"",2021,IF(G36&lt;&gt;"",2020,IF(F36&lt;&gt;"",2019,IF(E36&lt;&gt;"",2018,IF(D36&lt;&gt;"",2017,IF(C36&lt;&gt;"",2016,""))))))))))</x:f>
        <x:v>2018</x:v>
      </x:c>
      <x:c r="P36" s="299" t="str">
        <x:v>Exited flagship; may continue on specialist Hype Cycles</x:v>
      </x:c>
      <x:c r="Q36" s="299" t="str">
        <x:v>Established / specialist</x:v>
      </x:c>
      <x:c r="R36" s="299" t="str">
        <x:v>By 2026 there are credible production uses and vendors, but adoption is concentrated in particular workloads, industries or architectures rather than universal.</x:v>
      </x:c>
      <x:c r="S36" s="299" t="str"/>
      <x:c r="T36" s="300" t="str">
        <x:f>IFERROR(INDEX($C36:$L36,1,MATCH($N36,$C$4:$L$4,0)),"")</x:f>
        <x:v>PE</x:v>
      </x:c>
      <x:c r="U36" s="300" t="n">
        <x:f>IFERROR(VLOOKUP(T36,'Adoption Methodology'!$F$18:$G$22,2,FALSE),"")</x:f>
        <x:v>2</x:v>
      </x:c>
      <x:c r="V36" s="299" t="str">
        <x:f>IFERROR(VLOOKUP(U36,'Adoption Methodology'!$A$5:$C$10,3,FALSE),"")</x:f>
        <x:v>≈5–15% of relevant market; credible deployments but limited scale</x:v>
      </x:c>
      <x:c r="W36" s="300" t="n">
        <x:f>IFERROR(VLOOKUP(Q36,'Adoption Methodology'!$F$5:$H$12,2,FALSE),"")</x:f>
        <x:v>4</x:v>
      </x:c>
      <x:c r="X36" s="299" t="str">
        <x:f>IFERROR(VLOOKUP(W36,'Adoption Methodology'!$A$5:$C$10,3,FALSE),"")</x:f>
        <x:v>≈35–60% within the addressable segment; mature specialist use</x:v>
      </x:c>
      <x:c r="Y36" s="300" t="n">
        <x:f>IF(OR(U36="",W36=""),"",W36-U36)</x:f>
        <x:v>2</x:v>
      </x:c>
      <x:c r="Z36" s="299" t="str">
        <x:f>IF(Y36="","",IF(Y36&gt;0,"Adoption increased",IF(Y36=0,"Broadly unchanged","Adoption maturity lower")))</x:f>
        <x:v>Adoption increased</x:v>
      </x:c>
      <x:c r="AA36" s="300" t="str">
        <x:f>IFERROR(VLOOKUP(Q36,'Adoption Methodology'!$F$5:$H$12,3,FALSE),"Medium")</x:f>
        <x:v>High</x:v>
      </x:c>
      <x:c r="AB36" s="299" t="str">
        <x:f>IFERROR(VLOOKUP(A36,'Adoption Methodology'!$K$5:$L$14,2,FALSE),IFERROR(VLOOKUP(B36,'Adoption Methodology'!$N$5:$O$16,2,FALSE),"https://www.gartner.com/en/information-technology/technology-adoption-roadmaps"))</x:f>
        <x:v>https://ifr.org/worldrobotics/report-2025</x:v>
      </x:c>
      <x:c r="AC36" s="299" t="str">
        <x:f>IF(R36="","Modelled adoption maturity; see Adoption Methodology.",R36&amp;"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37">
      <x:c r="A37" s="299" t="str">
        <x:v>Autonomous Sourcing</x:v>
      </x:c>
      <x:c r="B37" s="299" t="str">
        <x:v>Autonomy / Robotics</x:v>
      </x:c>
      <x:c r="C37" s="300" t="str"/>
      <x:c r="D37" s="300" t="str"/>
      <x:c r="E37" s="300" t="str"/>
      <x:c r="F37" s="300" t="str"/>
      <x:c r="G37" s="300" t="str"/>
      <x:c r="H37" s="300" t="str"/>
      <x:c r="I37" s="300" t="str"/>
      <x:c r="J37" s="300" t="str"/>
      <x:c r="K37" s="300" t="str"/>
      <x:c r="L37" s="300" t="str">
        <x:v>PE</x:v>
      </x:c>
      <x:c r="M37" s="300" t="n">
        <x:f>COUNTIF(C37:L37,"IT")+COUNTIF(C37:L37,"PE")+COUNTIF(C37:L37,"TD")+COUNTIF(C37:L37,"SE")+COUNTIF(C37:L37,"PP")</x:f>
        <x:v>1</x:v>
      </x:c>
      <x:c r="N37" s="300" t="n">
        <x:f>IF(C37&lt;&gt;"",2016,IF(D37&lt;&gt;"",2017,IF(E37&lt;&gt;"",2018,IF(F37&lt;&gt;"",2019,IF(G37&lt;&gt;"",2020,IF(H37&lt;&gt;"",2021,IF(I37&lt;&gt;"",2022,IF(J37&lt;&gt;"",2023,IF(K37&lt;&gt;"",2024,IF(L37&lt;&gt;"",2025,""))))))))))</x:f>
        <x:v>2025</x:v>
      </x:c>
      <x:c r="O37" s="300" t="n">
        <x:f>IF(L37&lt;&gt;"",2025,IF(K37&lt;&gt;"",2024,IF(J37&lt;&gt;"",2023,IF(I37&lt;&gt;"",2022,IF(H37&lt;&gt;"",2021,IF(G37&lt;&gt;"",2020,IF(F37&lt;&gt;"",2019,IF(E37&lt;&gt;"",2018,IF(D37&lt;&gt;"",2017,IF(C37&lt;&gt;"",2016,""))))))))))</x:f>
        <x:v>2025</x:v>
      </x:c>
      <x:c r="P37" s="299" t="str">
        <x:v>Still on the 2025 flagship</x:v>
      </x:c>
      <x:c r="Q37" s="299" t="str">
        <x:v>Still emerging / evolving</x:v>
      </x:c>
      <x:c r="R37" s="299" t="str">
        <x:v>By 2026 the category is still evolving quickly; commercial adoption exists or is beginning, but maturity and durable ROI vary significantly.</x:v>
      </x:c>
      <x:c r="S37" s="299" t="str"/>
      <x:c r="T37" s="300" t="str">
        <x:f>IFERROR(INDEX($C37:$L37,1,MATCH($N37,$C$4:$L$4,0)),"")</x:f>
        <x:v>PE</x:v>
      </x:c>
      <x:c r="U37" s="300" t="n">
        <x:f>IFERROR(VLOOKUP(T37,'Adoption Methodology'!$F$18:$G$22,2,FALSE),"")</x:f>
        <x:v>2</x:v>
      </x:c>
      <x:c r="V37" s="299" t="str">
        <x:f>IFERROR(VLOOKUP(U37,'Adoption Methodology'!$A$5:$C$10,3,FALSE),"")</x:f>
        <x:v>≈5–15% of relevant market; credible deployments but limited scale</x:v>
      </x:c>
      <x:c r="W37" s="300" t="n">
        <x:f>IFERROR(VLOOKUP(Q37,'Adoption Methodology'!$F$5:$H$12,2,FALSE),"")</x:f>
        <x:v>2</x:v>
      </x:c>
      <x:c r="X37" s="299" t="str">
        <x:f>IFERROR(VLOOKUP(W37,'Adoption Methodology'!$A$5:$C$10,3,FALSE),"")</x:f>
        <x:v>≈5–15% of relevant market; credible deployments but limited scale</x:v>
      </x:c>
      <x:c r="Y37" s="300" t="n">
        <x:f>IF(OR(U37="",W37=""),"",W37-U37)</x:f>
        <x:v>0</x:v>
      </x:c>
      <x:c r="Z37" s="299" t="str">
        <x:f>IF(Y37="","",IF(Y37&gt;0,"Adoption increased",IF(Y37=0,"Broadly unchanged","Adoption maturity lower")))</x:f>
      </x:c>
      <x:c r="AA37" s="300" t="str">
        <x:f>IFERROR(VLOOKUP(Q37,'Adoption Methodology'!$F$5:$H$12,3,FALSE),"Medium")</x:f>
        <x:v>Medium</x:v>
      </x:c>
      <x:c r="AB37" s="299" t="str">
        <x:f>IFERROR(VLOOKUP(A37,'Adoption Methodology'!$K$5:$L$14,2,FALSE),IFERROR(VLOOKUP(B37,'Adoption Methodology'!$N$5:$O$16,2,FALSE),"https://www.gartner.com/en/information-technology/technology-adoption-roadmaps"))</x:f>
        <x:v>https://ifr.org/worldrobotics/report-2025</x:v>
      </x:c>
      <x:c r="AC37" s="299" t="str">
        <x:f>IF(R37="","Modelled adoption maturity; see Adoption Methodology.",R37&amp;"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38">
      <x:c r="A38" s="299" t="str">
        <x:v>Autonomous Vehicles</x:v>
      </x:c>
      <x:c r="B38" s="299" t="str">
        <x:v>Autonomy / Robotics</x:v>
      </x:c>
      <x:c r="C38" s="300" t="str">
        <x:v>PE</x:v>
      </x:c>
      <x:c r="D38" s="300" t="str">
        <x:v>PE</x:v>
      </x:c>
      <x:c r="E38" s="300" t="str"/>
      <x:c r="F38" s="300" t="str"/>
      <x:c r="G38" s="300" t="str"/>
      <x:c r="H38" s="300" t="str"/>
      <x:c r="I38" s="300" t="str"/>
      <x:c r="J38" s="300" t="str"/>
      <x:c r="K38" s="300" t="str"/>
      <x:c r="L38" s="300" t="str"/>
      <x:c r="M38" s="300" t="n">
        <x:f>COUNTIF(C38:L38,"IT")+COUNTIF(C38:L38,"PE")+COUNTIF(C38:L38,"TD")+COUNTIF(C38:L38,"SE")+COUNTIF(C38:L38,"PP")</x:f>
        <x:v>2</x:v>
      </x:c>
      <x:c r="N38" s="300" t="n">
        <x:f>IF(C38&lt;&gt;"",2016,IF(D38&lt;&gt;"",2017,IF(E38&lt;&gt;"",2018,IF(F38&lt;&gt;"",2019,IF(G38&lt;&gt;"",2020,IF(H38&lt;&gt;"",2021,IF(I38&lt;&gt;"",2022,IF(J38&lt;&gt;"",2023,IF(K38&lt;&gt;"",2024,IF(L38&lt;&gt;"",2025,""))))))))))</x:f>
        <x:v>2016</x:v>
      </x:c>
      <x:c r="O38" s="300" t="n">
        <x:f>IF(L38&lt;&gt;"",2025,IF(K38&lt;&gt;"",2024,IF(J38&lt;&gt;"",2023,IF(I38&lt;&gt;"",2022,IF(H38&lt;&gt;"",2021,IF(G38&lt;&gt;"",2020,IF(F38&lt;&gt;"",2019,IF(E38&lt;&gt;"",2018,IF(D38&lt;&gt;"",2017,IF(C38&lt;&gt;"",2016,""))))))))))</x:f>
        <x:v>2017</x:v>
      </x:c>
      <x:c r="P38" s="299" t="str">
        <x:v>Exited flagship; may continue on specialist Hype Cycles</x:v>
      </x:c>
      <x:c r="Q38" s="299" t="str">
        <x:v>Exited flagship / specialist</x:v>
      </x:c>
      <x:c r="R38" s="299" t="str">
        <x:v>The label left the flagship cycle and is now best viewed as specialist, absorbed into adjacent categories, or lower-profile rather than a simple success/failure.</x:v>
      </x:c>
      <x:c r="S38" s="299" t="str">
        <x:v>Later split into Autonomous Driving Level 4 / Level 5.</x:v>
      </x:c>
      <x:c r="T38" s="300" t="str">
        <x:f>IFERROR(INDEX($C38:$L38,1,MATCH($N38,$C$4:$L$4,0)),"")</x:f>
        <x:v>PE</x:v>
      </x:c>
      <x:c r="U38" s="300" t="n">
        <x:f>IFERROR(VLOOKUP(T38,'Adoption Methodology'!$F$18:$G$22,2,FALSE),"")</x:f>
        <x:v>2</x:v>
      </x:c>
      <x:c r="V38" s="299" t="str">
        <x:f>IFERROR(VLOOKUP(U38,'Adoption Methodology'!$A$5:$C$10,3,FALSE),"")</x:f>
        <x:v>≈5–15% of relevant market; credible deployments but limited scale</x:v>
      </x:c>
      <x:c r="W38" s="300" t="n">
        <x:f>IFERROR(VLOOKUP(Q38,'Adoption Methodology'!$F$5:$H$12,2,FALSE),"")</x:f>
        <x:v>3</x:v>
      </x:c>
      <x:c r="X38" s="299" t="str">
        <x:f>IFERROR(VLOOKUP(W38,'Adoption Methodology'!$A$5:$C$10,3,FALSE),"")</x:f>
        <x:v>≈15–35% of relevant market, or capability absorbed into successor platforms</x:v>
      </x:c>
      <x:c r="Y38" s="300" t="n">
        <x:f>IF(OR(U38="",W38=""),"",W38-U38)</x:f>
        <x:v>1</x:v>
      </x:c>
      <x:c r="Z38" s="299" t="str">
        <x:f>IF(Y38="","",IF(Y38&gt;0,"Adoption increased",IF(Y38=0,"Broadly unchanged","Adoption maturity lower")))</x:f>
        <x:v>Adoption increased</x:v>
      </x:c>
      <x:c r="AA38" s="300" t="str">
        <x:f>IFERROR(VLOOKUP(Q38,'Adoption Methodology'!$F$5:$H$12,3,FALSE),"Medium")</x:f>
        <x:v>Medium</x:v>
      </x:c>
      <x:c r="AB38" s="299" t="str">
        <x:f>IFERROR(VLOOKUP(A38,'Adoption Methodology'!$K$5:$L$14,2,FALSE),IFERROR(VLOOKUP(B38,'Adoption Methodology'!$N$5:$O$16,2,FALSE),"https://www.gartner.com/en/information-technology/technology-adoption-roadmaps"))</x:f>
        <x:v>https://www.weforum.org/publications/autonomous-vehicles-timeline-and-roadmap-ahead/</x:v>
      </x:c>
      <x:c r="AC38" s="299" t="str">
        <x:f>IF(R38="","Modelled adoption maturity; see Adoption Methodology.",R38&amp;"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39">
      <x:c r="A39" s="299" t="str">
        <x:v>Bidirectional Brain-Machine Interface</x:v>
      </x:c>
      <x:c r="B39" s="299" t="str">
        <x:v>Human Augmentation / Future of Work</x:v>
      </x:c>
      <x:c r="C39" s="300" t="str"/>
      <x:c r="D39" s="300" t="str"/>
      <x:c r="E39" s="300" t="str"/>
      <x:c r="F39" s="300" t="str"/>
      <x:c r="G39" s="300" t="str">
        <x:v>IT</x:v>
      </x:c>
      <x:c r="H39" s="300" t="str"/>
      <x:c r="I39" s="300" t="str"/>
      <x:c r="J39" s="300" t="str"/>
      <x:c r="K39" s="300" t="str"/>
      <x:c r="L39" s="300" t="str">
        <x:v>IT</x:v>
      </x:c>
      <x:c r="M39" s="300" t="n">
        <x:f>COUNTIF(C39:L39,"IT")+COUNTIF(C39:L39,"PE")+COUNTIF(C39:L39,"TD")+COUNTIF(C39:L39,"SE")+COUNTIF(C39:L39,"PP")</x:f>
        <x:v>2</x:v>
      </x:c>
      <x:c r="N39" s="300" t="n">
        <x:f>IF(C39&lt;&gt;"",2016,IF(D39&lt;&gt;"",2017,IF(E39&lt;&gt;"",2018,IF(F39&lt;&gt;"",2019,IF(G39&lt;&gt;"",2020,IF(H39&lt;&gt;"",2021,IF(I39&lt;&gt;"",2022,IF(J39&lt;&gt;"",2023,IF(K39&lt;&gt;"",2024,IF(L39&lt;&gt;"",2025,""))))))))))</x:f>
        <x:v>2020</x:v>
      </x:c>
      <x:c r="O39" s="300" t="n">
        <x:f>IF(L39&lt;&gt;"",2025,IF(K39&lt;&gt;"",2024,IF(J39&lt;&gt;"",2023,IF(I39&lt;&gt;"",2022,IF(H39&lt;&gt;"",2021,IF(G39&lt;&gt;"",2020,IF(F39&lt;&gt;"",2019,IF(E39&lt;&gt;"",2018,IF(D39&lt;&gt;"",2017,IF(C39&lt;&gt;"",2016,""))))))))))</x:f>
        <x:v>2025</x:v>
      </x:c>
      <x:c r="P39" s="299" t="str">
        <x:v>Still on the 2025 flagship</x:v>
      </x:c>
      <x:c r="Q39" s="299" t="str">
        <x:v>Still emerging / long-horizon</x:v>
      </x:c>
      <x:c r="R39" s="299" t="str">
        <x:v>By 2026 the technology remains emerging, research-heavy or constrained by economics, engineering, regulation or deployment scale.</x:v>
      </x:c>
      <x:c r="S39" s="299" t="str">
        <x:v>Related earlier label: Brain-Computer Interface.</x:v>
      </x:c>
      <x:c r="T39" s="300" t="str">
        <x:f>IFERROR(INDEX($C39:$L39,1,MATCH($N39,$C$4:$L$4,0)),"")</x:f>
        <x:v>IT</x:v>
      </x:c>
      <x:c r="U39" s="300" t="n">
        <x:f>IFERROR(VLOOKUP(T39,'Adoption Methodology'!$F$18:$G$22,2,FALSE),"")</x:f>
        <x:v>1</x:v>
      </x:c>
      <x:c r="V39" s="299" t="str">
        <x:f>IFERROR(VLOOKUP(U39,'Adoption Methodology'!$A$5:$C$10,3,FALSE),"")</x:f>
        <x:v>≈1–5% of relevant market; prototypes, pilots or very early deployments</x:v>
      </x:c>
      <x:c r="W39" s="300" t="n">
        <x:f>IFERROR(VLOOKUP(Q39,'Adoption Methodology'!$F$5:$H$12,2,FALSE),"")</x:f>
        <x:v>1</x:v>
      </x:c>
      <x:c r="X39" s="299" t="str">
        <x:f>IFERROR(VLOOKUP(W39,'Adoption Methodology'!$A$5:$C$10,3,FALSE),"")</x:f>
        <x:v>≈1–5% of relevant market; prototypes, pilots or very early deployments</x:v>
      </x:c>
      <x:c r="Y39" s="300" t="n">
        <x:f>IF(OR(U39="",W39=""),"",W39-U39)</x:f>
        <x:v>0</x:v>
      </x:c>
      <x:c r="Z39" s="299" t="str">
        <x:f>IF(Y39="","",IF(Y39&gt;0,"Adoption increased",IF(Y39=0,"Broadly unchanged","Adoption maturity lower")))</x:f>
      </x:c>
      <x:c r="AA39" s="300" t="str">
        <x:f>IFERROR(VLOOKUP(Q39,'Adoption Methodology'!$F$5:$H$12,3,FALSE),"Medium")</x:f>
        <x:v>Medium</x:v>
      </x:c>
      <x:c r="AB39" s="299" t="str">
        <x:f>IFERROR(VLOOKUP(A39,'Adoption Methodology'!$K$5:$L$14,2,FALSE),IFERROR(VLOOKUP(B39,'Adoption Methodology'!$N$5:$O$16,2,FALSE),"https://www.gartner.com/en/information-technology/technology-adoption-roadmaps"))</x:f>
        <x:v>https://www.gartner.com/en/information-technology/technology-adoption-roadmaps</x:v>
      </x:c>
      <x:c r="AC39" s="299" t="str">
        <x:f>IF(R39="","Modelled adoption maturity; see Adoption Methodology.",R39&amp;"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40">
      <x:c r="A40" s="299" t="str">
        <x:v>Biochips</x:v>
      </x:c>
      <x:c r="B40" s="299" t="str">
        <x:v>Materials / Bio / Physical</x:v>
      </x:c>
      <x:c r="C40" s="300" t="str"/>
      <x:c r="D40" s="300" t="str"/>
      <x:c r="E40" s="300" t="str">
        <x:v>PE</x:v>
      </x:c>
      <x:c r="F40" s="300" t="str">
        <x:v>PE</x:v>
      </x:c>
      <x:c r="G40" s="300" t="str"/>
      <x:c r="H40" s="300" t="str"/>
      <x:c r="I40" s="300" t="str"/>
      <x:c r="J40" s="300" t="str"/>
      <x:c r="K40" s="300" t="str"/>
      <x:c r="L40" s="300" t="str"/>
      <x:c r="M40" s="300" t="n">
        <x:f>COUNTIF(C40:L40,"IT")+COUNTIF(C40:L40,"PE")+COUNTIF(C40:L40,"TD")+COUNTIF(C40:L40,"SE")+COUNTIF(C40:L40,"PP")</x:f>
        <x:v>2</x:v>
      </x:c>
      <x:c r="N40" s="300" t="n">
        <x:f>IF(C40&lt;&gt;"",2016,IF(D40&lt;&gt;"",2017,IF(E40&lt;&gt;"",2018,IF(F40&lt;&gt;"",2019,IF(G40&lt;&gt;"",2020,IF(H40&lt;&gt;"",2021,IF(I40&lt;&gt;"",2022,IF(J40&lt;&gt;"",2023,IF(K40&lt;&gt;"",2024,IF(L40&lt;&gt;"",2025,""))))))))))</x:f>
        <x:v>2018</x:v>
      </x:c>
      <x:c r="O40" s="300" t="n">
        <x:f>IF(L40&lt;&gt;"",2025,IF(K40&lt;&gt;"",2024,IF(J40&lt;&gt;"",2023,IF(I40&lt;&gt;"",2022,IF(H40&lt;&gt;"",2021,IF(G40&lt;&gt;"",2020,IF(F40&lt;&gt;"",2019,IF(E40&lt;&gt;"",2018,IF(D40&lt;&gt;"",2017,IF(C40&lt;&gt;"",2016,""))))))))))</x:f>
        <x:v>2019</x:v>
      </x:c>
      <x:c r="P40" s="299" t="str">
        <x:v>Exited flagship; may continue on specialist Hype Cycles</x:v>
      </x:c>
      <x:c r="Q40" s="299" t="str">
        <x:v>Established / specialist</x:v>
      </x:c>
      <x:c r="R40" s="299" t="str">
        <x:v>By 2026 there are credible production uses and vendors, but adoption is concentrated in particular workloads, industries or architectures rather than universal.</x:v>
      </x:c>
      <x:c r="S40" s="299" t="str"/>
      <x:c r="T40" s="300" t="str">
        <x:f>IFERROR(INDEX($C40:$L40,1,MATCH($N40,$C$4:$L$4,0)),"")</x:f>
        <x:v>PE</x:v>
      </x:c>
      <x:c r="U40" s="300" t="n">
        <x:f>IFERROR(VLOOKUP(T40,'Adoption Methodology'!$F$18:$G$22,2,FALSE),"")</x:f>
        <x:v>2</x:v>
      </x:c>
      <x:c r="V40" s="299" t="str">
        <x:f>IFERROR(VLOOKUP(U40,'Adoption Methodology'!$A$5:$C$10,3,FALSE),"")</x:f>
        <x:v>≈5–15% of relevant market; credible deployments but limited scale</x:v>
      </x:c>
      <x:c r="W40" s="300" t="n">
        <x:f>IFERROR(VLOOKUP(Q40,'Adoption Methodology'!$F$5:$H$12,2,FALSE),"")</x:f>
        <x:v>4</x:v>
      </x:c>
      <x:c r="X40" s="299" t="str">
        <x:f>IFERROR(VLOOKUP(W40,'Adoption Methodology'!$A$5:$C$10,3,FALSE),"")</x:f>
        <x:v>≈35–60% within the addressable segment; mature specialist use</x:v>
      </x:c>
      <x:c r="Y40" s="300" t="n">
        <x:f>IF(OR(U40="",W40=""),"",W40-U40)</x:f>
        <x:v>2</x:v>
      </x:c>
      <x:c r="Z40" s="299" t="str">
        <x:f>IF(Y40="","",IF(Y40&gt;0,"Adoption increased",IF(Y40=0,"Broadly unchanged","Adoption maturity lower")))</x:f>
        <x:v>Adoption increased</x:v>
      </x:c>
      <x:c r="AA40" s="300" t="str">
        <x:f>IFERROR(VLOOKUP(Q40,'Adoption Methodology'!$F$5:$H$12,3,FALSE),"Medium")</x:f>
        <x:v>High</x:v>
      </x:c>
      <x:c r="AB40" s="299" t="str">
        <x:f>IFERROR(VLOOKUP(A40,'Adoption Methodology'!$K$5:$L$14,2,FALSE),IFERROR(VLOOKUP(B40,'Adoption Methodology'!$N$5:$O$16,2,FALSE),"https://www.gartner.com/en/information-technology/technology-adoption-roadmaps"))</x:f>
        <x:v>https://www.gartner.com/en/information-technology/technology-adoption-roadmaps</x:v>
      </x:c>
      <x:c r="AC40" s="299" t="str">
        <x:f>IF(R40="","Modelled adoption maturity; see Adoption Methodology.",R40&amp;"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41">
      <x:c r="A41" s="299" t="str">
        <x:v>Biodegradable Sensors</x:v>
      </x:c>
      <x:c r="B41" s="299" t="str">
        <x:v>Materials / Bio / Physical</x:v>
      </x:c>
      <x:c r="C41" s="300" t="str"/>
      <x:c r="D41" s="300" t="str"/>
      <x:c r="E41" s="300" t="str"/>
      <x:c r="F41" s="300" t="str"/>
      <x:c r="G41" s="300" t="str">
        <x:v>IT</x:v>
      </x:c>
      <x:c r="H41" s="300" t="str"/>
      <x:c r="I41" s="300" t="str"/>
      <x:c r="J41" s="300" t="str"/>
      <x:c r="K41" s="300" t="str"/>
      <x:c r="L41" s="300" t="str"/>
      <x:c r="M41" s="300" t="n">
        <x:f>COUNTIF(C41:L41,"IT")+COUNTIF(C41:L41,"PE")+COUNTIF(C41:L41,"TD")+COUNTIF(C41:L41,"SE")+COUNTIF(C41:L41,"PP")</x:f>
        <x:v>1</x:v>
      </x:c>
      <x:c r="N41" s="300" t="n">
        <x:f>IF(C41&lt;&gt;"",2016,IF(D41&lt;&gt;"",2017,IF(E41&lt;&gt;"",2018,IF(F41&lt;&gt;"",2019,IF(G41&lt;&gt;"",2020,IF(H41&lt;&gt;"",2021,IF(I41&lt;&gt;"",2022,IF(J41&lt;&gt;"",2023,IF(K41&lt;&gt;"",2024,IF(L41&lt;&gt;"",2025,""))))))))))</x:f>
        <x:v>2020</x:v>
      </x:c>
      <x:c r="O41" s="300" t="n">
        <x:f>IF(L41&lt;&gt;"",2025,IF(K41&lt;&gt;"",2024,IF(J41&lt;&gt;"",2023,IF(I41&lt;&gt;"",2022,IF(H41&lt;&gt;"",2021,IF(G41&lt;&gt;"",2020,IF(F41&lt;&gt;"",2019,IF(E41&lt;&gt;"",2018,IF(D41&lt;&gt;"",2017,IF(C41&lt;&gt;"",2016,""))))))))))</x:f>
        <x:v>2020</x:v>
      </x:c>
      <x:c r="P41" s="299" t="str">
        <x:v>Exited flagship; may continue on specialist Hype Cycles</x:v>
      </x:c>
      <x:c r="Q41" s="299" t="str">
        <x:v>Still emerging / long-horizon</x:v>
      </x:c>
      <x:c r="R41" s="299" t="str">
        <x:v>By 2026 the technology remains emerging, research-heavy or constrained by economics, engineering, regulation or deployment scale.</x:v>
      </x:c>
      <x:c r="S41" s="299" t="str"/>
      <x:c r="T41" s="300" t="str">
        <x:f>IFERROR(INDEX($C41:$L41,1,MATCH($N41,$C$4:$L$4,0)),"")</x:f>
        <x:v>IT</x:v>
      </x:c>
      <x:c r="U41" s="300" t="n">
        <x:f>IFERROR(VLOOKUP(T41,'Adoption Methodology'!$F$18:$G$22,2,FALSE),"")</x:f>
        <x:v>1</x:v>
      </x:c>
      <x:c r="V41" s="299" t="str">
        <x:f>IFERROR(VLOOKUP(U41,'Adoption Methodology'!$A$5:$C$10,3,FALSE),"")</x:f>
        <x:v>≈1–5% of relevant market; prototypes, pilots or very early deployments</x:v>
      </x:c>
      <x:c r="W41" s="300" t="n">
        <x:f>IFERROR(VLOOKUP(Q41,'Adoption Methodology'!$F$5:$H$12,2,FALSE),"")</x:f>
        <x:v>1</x:v>
      </x:c>
      <x:c r="X41" s="299" t="str">
        <x:f>IFERROR(VLOOKUP(W41,'Adoption Methodology'!$A$5:$C$10,3,FALSE),"")</x:f>
        <x:v>≈1–5% of relevant market; prototypes, pilots or very early deployments</x:v>
      </x:c>
      <x:c r="Y41" s="300" t="n">
        <x:f>IF(OR(U41="",W41=""),"",W41-U41)</x:f>
        <x:v>0</x:v>
      </x:c>
      <x:c r="Z41" s="299" t="str">
        <x:f>IF(Y41="","",IF(Y41&gt;0,"Adoption increased",IF(Y41=0,"Broadly unchanged","Adoption maturity lower")))</x:f>
      </x:c>
      <x:c r="AA41" s="300" t="str">
        <x:f>IFERROR(VLOOKUP(Q41,'Adoption Methodology'!$F$5:$H$12,3,FALSE),"Medium")</x:f>
        <x:v>Medium</x:v>
      </x:c>
      <x:c r="AB41" s="299" t="str">
        <x:f>IFERROR(VLOOKUP(A41,'Adoption Methodology'!$K$5:$L$14,2,FALSE),IFERROR(VLOOKUP(B41,'Adoption Methodology'!$N$5:$O$16,2,FALSE),"https://www.gartner.com/en/information-technology/technology-adoption-roadmaps"))</x:f>
        <x:v>https://www.gartner.com/en/information-technology/technology-adoption-roadmaps</x:v>
      </x:c>
      <x:c r="AC41" s="299" t="str">
        <x:f>IF(R41="","Modelled adoption maturity; see Adoption Methodology.",R41&amp;"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42">
      <x:c r="A42" s="299" t="str">
        <x:v>Biotech — Cultured or Artificial Tissue</x:v>
      </x:c>
      <x:c r="B42" s="299" t="str">
        <x:v>Connectivity / Edge / IoT</x:v>
      </x:c>
      <x:c r="C42" s="300" t="str"/>
      <x:c r="D42" s="300" t="str"/>
      <x:c r="E42" s="300" t="str">
        <x:v>IT</x:v>
      </x:c>
      <x:c r="F42" s="300" t="str">
        <x:v>IT</x:v>
      </x:c>
      <x:c r="G42" s="300" t="str"/>
      <x:c r="H42" s="300" t="str"/>
      <x:c r="I42" s="300" t="str"/>
      <x:c r="J42" s="300" t="str"/>
      <x:c r="K42" s="300" t="str"/>
      <x:c r="L42" s="300" t="str"/>
      <x:c r="M42" s="300" t="n">
        <x:f>COUNTIF(C42:L42,"IT")+COUNTIF(C42:L42,"PE")+COUNTIF(C42:L42,"TD")+COUNTIF(C42:L42,"SE")+COUNTIF(C42:L42,"PP")</x:f>
        <x:v>2</x:v>
      </x:c>
      <x:c r="N42" s="300" t="n">
        <x:f>IF(C42&lt;&gt;"",2016,IF(D42&lt;&gt;"",2017,IF(E42&lt;&gt;"",2018,IF(F42&lt;&gt;"",2019,IF(G42&lt;&gt;"",2020,IF(H42&lt;&gt;"",2021,IF(I42&lt;&gt;"",2022,IF(J42&lt;&gt;"",2023,IF(K42&lt;&gt;"",2024,IF(L42&lt;&gt;"",2025,""))))))))))</x:f>
        <x:v>2018</x:v>
      </x:c>
      <x:c r="O42" s="300" t="n">
        <x:f>IF(L42&lt;&gt;"",2025,IF(K42&lt;&gt;"",2024,IF(J42&lt;&gt;"",2023,IF(I42&lt;&gt;"",2022,IF(H42&lt;&gt;"",2021,IF(G42&lt;&gt;"",2020,IF(F42&lt;&gt;"",2019,IF(E42&lt;&gt;"",2018,IF(D42&lt;&gt;"",2017,IF(C42&lt;&gt;"",2016,""))))))))))</x:f>
        <x:v>2019</x:v>
      </x:c>
      <x:c r="P42" s="299" t="str">
        <x:v>Exited flagship; may continue on specialist Hype Cycles</x:v>
      </x:c>
      <x:c r="Q42" s="299" t="str">
        <x:v>Still emerging / long-horizon</x:v>
      </x:c>
      <x:c r="R42" s="299" t="str">
        <x:v>By 2026 the technology remains emerging, research-heavy or constrained by economics, engineering, regulation or deployment scale.</x:v>
      </x:c>
      <x:c r="S42" s="299" t="str"/>
      <x:c r="T42" s="300" t="str">
        <x:f>IFERROR(INDEX($C42:$L42,1,MATCH($N42,$C$4:$L$4,0)),"")</x:f>
        <x:v>IT</x:v>
      </x:c>
      <x:c r="U42" s="300" t="n">
        <x:f>IFERROR(VLOOKUP(T42,'Adoption Methodology'!$F$18:$G$22,2,FALSE),"")</x:f>
        <x:v>1</x:v>
      </x:c>
      <x:c r="V42" s="299" t="str">
        <x:f>IFERROR(VLOOKUP(U42,'Adoption Methodology'!$A$5:$C$10,3,FALSE),"")</x:f>
        <x:v>≈1–5% of relevant market; prototypes, pilots or very early deployments</x:v>
      </x:c>
      <x:c r="W42" s="300" t="n">
        <x:f>IFERROR(VLOOKUP(Q42,'Adoption Methodology'!$F$5:$H$12,2,FALSE),"")</x:f>
        <x:v>1</x:v>
      </x:c>
      <x:c r="X42" s="299" t="str">
        <x:f>IFERROR(VLOOKUP(W42,'Adoption Methodology'!$A$5:$C$10,3,FALSE),"")</x:f>
        <x:v>≈1–5% of relevant market; prototypes, pilots or very early deployments</x:v>
      </x:c>
      <x:c r="Y42" s="300" t="n">
        <x:f>IF(OR(U42="",W42=""),"",W42-U42)</x:f>
        <x:v>0</x:v>
      </x:c>
      <x:c r="Z42" s="299" t="str">
        <x:f>IF(Y42="","",IF(Y42&gt;0,"Adoption increased",IF(Y42=0,"Broadly unchanged","Adoption maturity lower")))</x:f>
      </x:c>
      <x:c r="AA42" s="300" t="str">
        <x:f>IFERROR(VLOOKUP(Q42,'Adoption Methodology'!$F$5:$H$12,3,FALSE),"Medium")</x:f>
        <x:v>Medium</x:v>
      </x:c>
      <x:c r="AB42" s="299" t="str">
        <x:f>IFERROR(VLOOKUP(A42,'Adoption Methodology'!$K$5:$L$14,2,FALSE),IFERROR(VLOOKUP(B42,'Adoption Methodology'!$N$5:$O$16,2,FALSE),"https://www.gartner.com/en/information-technology/technology-adoption-roadmaps"))</x:f>
        <x:v>https://www.gsma.com/about-us/regions/europe/gsma_resources/the-mobile-economy-2026/</x:v>
      </x:c>
      <x:c r="AC42" s="299" t="str">
        <x:f>IF(R42="","Modelled adoption maturity; see Adoption Methodology.",R42&amp;"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43">
      <x:c r="A43" s="299" t="str">
        <x:v>Blockchain</x:v>
      </x:c>
      <x:c r="B43" s="299" t="str">
        <x:v>Blockchain / Digital Assets</x:v>
      </x:c>
      <x:c r="C43" s="300" t="str">
        <x:v>IT</x:v>
      </x:c>
      <x:c r="D43" s="300" t="str">
        <x:v>PE</x:v>
      </x:c>
      <x:c r="E43" s="300" t="str">
        <x:v>PE</x:v>
      </x:c>
      <x:c r="F43" s="300" t="str"/>
      <x:c r="G43" s="300" t="str"/>
      <x:c r="H43" s="300" t="str"/>
      <x:c r="I43" s="300" t="str"/>
      <x:c r="J43" s="300" t="str"/>
      <x:c r="K43" s="300" t="str"/>
      <x:c r="L43" s="300" t="str"/>
      <x:c r="M43" s="300" t="n">
        <x:f>COUNTIF(C43:L43,"IT")+COUNTIF(C43:L43,"PE")+COUNTIF(C43:L43,"TD")+COUNTIF(C43:L43,"SE")+COUNTIF(C43:L43,"PP")</x:f>
        <x:v>3</x:v>
      </x:c>
      <x:c r="N43" s="300" t="n">
        <x:f>IF(C43&lt;&gt;"",2016,IF(D43&lt;&gt;"",2017,IF(E43&lt;&gt;"",2018,IF(F43&lt;&gt;"",2019,IF(G43&lt;&gt;"",2020,IF(H43&lt;&gt;"",2021,IF(I43&lt;&gt;"",2022,IF(J43&lt;&gt;"",2023,IF(K43&lt;&gt;"",2024,IF(L43&lt;&gt;"",2025,""))))))))))</x:f>
        <x:v>2016</x:v>
      </x:c>
      <x:c r="O43" s="300" t="n">
        <x:f>IF(L43&lt;&gt;"",2025,IF(K43&lt;&gt;"",2024,IF(J43&lt;&gt;"",2023,IF(I43&lt;&gt;"",2022,IF(H43&lt;&gt;"",2021,IF(G43&lt;&gt;"",2020,IF(F43&lt;&gt;"",2019,IF(E43&lt;&gt;"",2018,IF(D43&lt;&gt;"",2017,IF(C43&lt;&gt;"",2016,""))))))))))</x:f>
        <x:v>2018</x:v>
      </x:c>
      <x:c r="P43" s="299" t="str">
        <x:v>Exited flagship; may continue on specialist Hype Cycles</x:v>
      </x:c>
      <x:c r="Q43" s="299" t="str">
        <x:v>Established / specialist</x:v>
      </x:c>
      <x:c r="R43" s="299" t="str">
        <x:v>By 2026 there are credible production uses and vendors, but adoption is concentrated in particular workloads, industries or architectures rather than universal.</x:v>
      </x:c>
      <x:c r="S43" s="299" t="str"/>
      <x:c r="T43" s="300" t="str">
        <x:f>IFERROR(INDEX($C43:$L43,1,MATCH($N43,$C$4:$L$4,0)),"")</x:f>
        <x:v>IT</x:v>
      </x:c>
      <x:c r="U43" s="300" t="n">
        <x:f>IFERROR(VLOOKUP(T43,'Adoption Methodology'!$F$18:$G$22,2,FALSE),"")</x:f>
        <x:v>1</x:v>
      </x:c>
      <x:c r="V43" s="299" t="str">
        <x:f>IFERROR(VLOOKUP(U43,'Adoption Methodology'!$A$5:$C$10,3,FALSE),"")</x:f>
        <x:v>≈1–5% of relevant market; prototypes, pilots or very early deployments</x:v>
      </x:c>
      <x:c r="W43" s="300" t="n">
        <x:f>IFERROR(VLOOKUP(Q43,'Adoption Methodology'!$F$5:$H$12,2,FALSE),"")</x:f>
        <x:v>4</x:v>
      </x:c>
      <x:c r="X43" s="299" t="str">
        <x:f>IFERROR(VLOOKUP(W43,'Adoption Methodology'!$A$5:$C$10,3,FALSE),"")</x:f>
        <x:v>≈35–60% within the addressable segment; mature specialist use</x:v>
      </x:c>
      <x:c r="Y43" s="300" t="n">
        <x:f>IF(OR(U43="",W43=""),"",W43-U43)</x:f>
        <x:v>3</x:v>
      </x:c>
      <x:c r="Z43" s="299" t="str">
        <x:f>IF(Y43="","",IF(Y43&gt;0,"Adoption increased",IF(Y43=0,"Broadly unchanged","Adoption maturity lower")))</x:f>
        <x:v>Adoption increased</x:v>
      </x:c>
      <x:c r="AA43" s="300" t="str">
        <x:f>IFERROR(VLOOKUP(Q43,'Adoption Methodology'!$F$5:$H$12,3,FALSE),"Medium")</x:f>
        <x:v>High</x:v>
      </x:c>
      <x:c r="AB43" s="299" t="str">
        <x:f>IFERROR(VLOOKUP(A43,'Adoption Methodology'!$K$5:$L$14,2,FALSE),IFERROR(VLOOKUP(B43,'Adoption Methodology'!$N$5:$O$16,2,FALSE),"https://www.gartner.com/en/information-technology/technology-adoption-roadmaps"))</x:f>
        <x:v>https://www.deloitte.com/us/en/insights/topics/business-strategy-growth/2q-2025-cfo-signals-survey.html</x:v>
      </x:c>
      <x:c r="AC43" s="299" t="str">
        <x:f>IF(R43="","Modelled adoption maturity; see Adoption Methodology.",R43&amp;"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44">
      <x:c r="A44" s="299" t="str">
        <x:v>Blockchain for Data Security</x:v>
      </x:c>
      <x:c r="B44" s="299" t="str">
        <x:v>Blockchain / Digital Assets</x:v>
      </x:c>
      <x:c r="C44" s="300" t="str"/>
      <x:c r="D44" s="300" t="str"/>
      <x:c r="E44" s="300" t="str">
        <x:v>IT</x:v>
      </x:c>
      <x:c r="F44" s="300" t="str"/>
      <x:c r="G44" s="300" t="str"/>
      <x:c r="H44" s="300" t="str"/>
      <x:c r="I44" s="300" t="str"/>
      <x:c r="J44" s="300" t="str"/>
      <x:c r="K44" s="300" t="str"/>
      <x:c r="L44" s="300" t="str"/>
      <x:c r="M44" s="300" t="n">
        <x:f>COUNTIF(C44:L44,"IT")+COUNTIF(C44:L44,"PE")+COUNTIF(C44:L44,"TD")+COUNTIF(C44:L44,"SE")+COUNTIF(C44:L44,"PP")</x:f>
        <x:v>1</x:v>
      </x:c>
      <x:c r="N44" s="300" t="n">
        <x:f>IF(C44&lt;&gt;"",2016,IF(D44&lt;&gt;"",2017,IF(E44&lt;&gt;"",2018,IF(F44&lt;&gt;"",2019,IF(G44&lt;&gt;"",2020,IF(H44&lt;&gt;"",2021,IF(I44&lt;&gt;"",2022,IF(J44&lt;&gt;"",2023,IF(K44&lt;&gt;"",2024,IF(L44&lt;&gt;"",2025,""))))))))))</x:f>
        <x:v>2018</x:v>
      </x:c>
      <x:c r="O44" s="300" t="n">
        <x:f>IF(L44&lt;&gt;"",2025,IF(K44&lt;&gt;"",2024,IF(J44&lt;&gt;"",2023,IF(I44&lt;&gt;"",2022,IF(H44&lt;&gt;"",2021,IF(G44&lt;&gt;"",2020,IF(F44&lt;&gt;"",2019,IF(E44&lt;&gt;"",2018,IF(D44&lt;&gt;"",2017,IF(C44&lt;&gt;"",2016,""))))))))))</x:f>
        <x:v>2018</x:v>
      </x:c>
      <x:c r="P44" s="299" t="str">
        <x:v>Exited flagship; may continue on specialist Hype Cycles</x:v>
      </x:c>
      <x:c r="Q44" s="299" t="str">
        <x:v>Established / specialist</x:v>
      </x:c>
      <x:c r="R44" s="299" t="str">
        <x:v>By 2026 there are credible production uses and vendors, but adoption is concentrated in particular workloads, industries or architectures rather than universal.</x:v>
      </x:c>
      <x:c r="S44" s="299" t="str"/>
      <x:c r="T44" s="300" t="str">
        <x:f>IFERROR(INDEX($C44:$L44,1,MATCH($N44,$C$4:$L$4,0)),"")</x:f>
        <x:v>IT</x:v>
      </x:c>
      <x:c r="U44" s="300" t="n">
        <x:f>IFERROR(VLOOKUP(T44,'Adoption Methodology'!$F$18:$G$22,2,FALSE),"")</x:f>
        <x:v>1</x:v>
      </x:c>
      <x:c r="V44" s="299" t="str">
        <x:f>IFERROR(VLOOKUP(U44,'Adoption Methodology'!$A$5:$C$10,3,FALSE),"")</x:f>
        <x:v>≈1–5% of relevant market; prototypes, pilots or very early deployments</x:v>
      </x:c>
      <x:c r="W44" s="300" t="n">
        <x:f>IFERROR(VLOOKUP(Q44,'Adoption Methodology'!$F$5:$H$12,2,FALSE),"")</x:f>
        <x:v>4</x:v>
      </x:c>
      <x:c r="X44" s="299" t="str">
        <x:f>IFERROR(VLOOKUP(W44,'Adoption Methodology'!$A$5:$C$10,3,FALSE),"")</x:f>
        <x:v>≈35–60% within the addressable segment; mature specialist use</x:v>
      </x:c>
      <x:c r="Y44" s="300" t="n">
        <x:f>IF(OR(U44="",W44=""),"",W44-U44)</x:f>
        <x:v>3</x:v>
      </x:c>
      <x:c r="Z44" s="299" t="str">
        <x:f>IF(Y44="","",IF(Y44&gt;0,"Adoption increased",IF(Y44=0,"Broadly unchanged","Adoption maturity lower")))</x:f>
        <x:v>Adoption increased</x:v>
      </x:c>
      <x:c r="AA44" s="300" t="str">
        <x:f>IFERROR(VLOOKUP(Q44,'Adoption Methodology'!$F$5:$H$12,3,FALSE),"Medium")</x:f>
        <x:v>High</x:v>
      </x:c>
      <x:c r="AB44" s="299" t="str">
        <x:f>IFERROR(VLOOKUP(A44,'Adoption Methodology'!$K$5:$L$14,2,FALSE),IFERROR(VLOOKUP(B44,'Adoption Methodology'!$N$5:$O$16,2,FALSE),"https://www.gartner.com/en/information-technology/technology-adoption-roadmaps"))</x:f>
        <x:v>https://www.deloitte.com/us/en/insights/topics/business-strategy-growth/2q-2025-cfo-signals-survey.html</x:v>
      </x:c>
      <x:c r="AC44" s="299" t="str">
        <x:f>IF(R44="","Modelled adoption maturity; see Adoption Methodology.",R44&amp;"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45">
      <x:c r="A45" s="299" t="str">
        <x:v>Brain-Computer Interface</x:v>
      </x:c>
      <x:c r="B45" s="299" t="str">
        <x:v>Human Augmentation / Future of Work</x:v>
      </x:c>
      <x:c r="C45" s="300" t="str">
        <x:v>IT</x:v>
      </x:c>
      <x:c r="D45" s="300" t="str">
        <x:v>IT</x:v>
      </x:c>
      <x:c r="E45" s="300" t="str">
        <x:v>PE</x:v>
      </x:c>
      <x:c r="F45" s="300" t="str"/>
      <x:c r="G45" s="300" t="str"/>
      <x:c r="H45" s="300" t="str"/>
      <x:c r="I45" s="300" t="str"/>
      <x:c r="J45" s="300" t="str"/>
      <x:c r="K45" s="300" t="str"/>
      <x:c r="L45" s="300" t="str"/>
      <x:c r="M45" s="300" t="n">
        <x:f>COUNTIF(C45:L45,"IT")+COUNTIF(C45:L45,"PE")+COUNTIF(C45:L45,"TD")+COUNTIF(C45:L45,"SE")+COUNTIF(C45:L45,"PP")</x:f>
        <x:v>3</x:v>
      </x:c>
      <x:c r="N45" s="300" t="n">
        <x:f>IF(C45&lt;&gt;"",2016,IF(D45&lt;&gt;"",2017,IF(E45&lt;&gt;"",2018,IF(F45&lt;&gt;"",2019,IF(G45&lt;&gt;"",2020,IF(H45&lt;&gt;"",2021,IF(I45&lt;&gt;"",2022,IF(J45&lt;&gt;"",2023,IF(K45&lt;&gt;"",2024,IF(L45&lt;&gt;"",2025,""))))))))))</x:f>
        <x:v>2016</x:v>
      </x:c>
      <x:c r="O45" s="300" t="n">
        <x:f>IF(L45&lt;&gt;"",2025,IF(K45&lt;&gt;"",2024,IF(J45&lt;&gt;"",2023,IF(I45&lt;&gt;"",2022,IF(H45&lt;&gt;"",2021,IF(G45&lt;&gt;"",2020,IF(F45&lt;&gt;"",2019,IF(E45&lt;&gt;"",2018,IF(D45&lt;&gt;"",2017,IF(C45&lt;&gt;"",2016,""))))))))))</x:f>
        <x:v>2018</x:v>
      </x:c>
      <x:c r="P45" s="299" t="str">
        <x:v>Exited flagship; may continue on specialist Hype Cycles</x:v>
      </x:c>
      <x:c r="Q45" s="299" t="str">
        <x:v>Still emerging / long-horizon</x:v>
      </x:c>
      <x:c r="R45" s="299" t="str">
        <x:v>By 2026 the technology remains emerging, research-heavy or constrained by economics, engineering, regulation or deployment scale.</x:v>
      </x:c>
      <x:c r="S45" s="299" t="str">
        <x:v>Related later label: Bidirectional Brain-Machine Interface.</x:v>
      </x:c>
      <x:c r="T45" s="300" t="str">
        <x:f>IFERROR(INDEX($C45:$L45,1,MATCH($N45,$C$4:$L$4,0)),"")</x:f>
        <x:v>IT</x:v>
      </x:c>
      <x:c r="U45" s="300" t="n">
        <x:f>IFERROR(VLOOKUP(T45,'Adoption Methodology'!$F$18:$G$22,2,FALSE),"")</x:f>
        <x:v>1</x:v>
      </x:c>
      <x:c r="V45" s="299" t="str">
        <x:f>IFERROR(VLOOKUP(U45,'Adoption Methodology'!$A$5:$C$10,3,FALSE),"")</x:f>
        <x:v>≈1–5% of relevant market; prototypes, pilots or very early deployments</x:v>
      </x:c>
      <x:c r="W45" s="300" t="n">
        <x:f>IFERROR(VLOOKUP(Q45,'Adoption Methodology'!$F$5:$H$12,2,FALSE),"")</x:f>
        <x:v>1</x:v>
      </x:c>
      <x:c r="X45" s="299" t="str">
        <x:f>IFERROR(VLOOKUP(W45,'Adoption Methodology'!$A$5:$C$10,3,FALSE),"")</x:f>
        <x:v>≈1–5% of relevant market; prototypes, pilots or very early deployments</x:v>
      </x:c>
      <x:c r="Y45" s="300" t="n">
        <x:f>IF(OR(U45="",W45=""),"",W45-U45)</x:f>
        <x:v>0</x:v>
      </x:c>
      <x:c r="Z45" s="299" t="str">
        <x:f>IF(Y45="","",IF(Y45&gt;0,"Adoption increased",IF(Y45=0,"Broadly unchanged","Adoption maturity lower")))</x:f>
      </x:c>
      <x:c r="AA45" s="300" t="str">
        <x:f>IFERROR(VLOOKUP(Q45,'Adoption Methodology'!$F$5:$H$12,3,FALSE),"Medium")</x:f>
        <x:v>Medium</x:v>
      </x:c>
      <x:c r="AB45" s="299" t="str">
        <x:f>IFERROR(VLOOKUP(A45,'Adoption Methodology'!$K$5:$L$14,2,FALSE),IFERROR(VLOOKUP(B45,'Adoption Methodology'!$N$5:$O$16,2,FALSE),"https://www.gartner.com/en/information-technology/technology-adoption-roadmaps"))</x:f>
        <x:v>https://www.gartner.com/en/information-technology/technology-adoption-roadmaps</x:v>
      </x:c>
      <x:c r="AC45" s="299" t="str">
        <x:f>IF(R45="","Modelled adoption maturity; see Adoption Methodology.",R45&amp;"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46">
      <x:c r="A46" s="299" t="str">
        <x:v>Bring Your Own Identity</x:v>
      </x:c>
      <x:c r="B46" s="299" t="str">
        <x:v>Security / Privacy</x:v>
      </x:c>
      <x:c r="C46" s="300" t="str"/>
      <x:c r="D46" s="300" t="str"/>
      <x:c r="E46" s="300" t="str"/>
      <x:c r="F46" s="300" t="str"/>
      <x:c r="G46" s="300" t="str">
        <x:v>TD</x:v>
      </x:c>
      <x:c r="H46" s="300" t="str"/>
      <x:c r="I46" s="300" t="str"/>
      <x:c r="J46" s="300" t="str"/>
      <x:c r="K46" s="300" t="str"/>
      <x:c r="L46" s="300" t="str"/>
      <x:c r="M46" s="300" t="n">
        <x:f>COUNTIF(C46:L46,"IT")+COUNTIF(C46:L46,"PE")+COUNTIF(C46:L46,"TD")+COUNTIF(C46:L46,"SE")+COUNTIF(C46:L46,"PP")</x:f>
        <x:v>1</x:v>
      </x:c>
      <x:c r="N46" s="300" t="n">
        <x:f>IF(C46&lt;&gt;"",2016,IF(D46&lt;&gt;"",2017,IF(E46&lt;&gt;"",2018,IF(F46&lt;&gt;"",2019,IF(G46&lt;&gt;"",2020,IF(H46&lt;&gt;"",2021,IF(I46&lt;&gt;"",2022,IF(J46&lt;&gt;"",2023,IF(K46&lt;&gt;"",2024,IF(L46&lt;&gt;"",2025,""))))))))))</x:f>
        <x:v>2020</x:v>
      </x:c>
      <x:c r="O46" s="300" t="n">
        <x:f>IF(L46&lt;&gt;"",2025,IF(K46&lt;&gt;"",2024,IF(J46&lt;&gt;"",2023,IF(I46&lt;&gt;"",2022,IF(H46&lt;&gt;"",2021,IF(G46&lt;&gt;"",2020,IF(F46&lt;&gt;"",2019,IF(E46&lt;&gt;"",2018,IF(D46&lt;&gt;"",2017,IF(C46&lt;&gt;"",2016,""))))))))))</x:f>
        <x:v>2020</x:v>
      </x:c>
      <x:c r="P46" s="299" t="str">
        <x:v>Exited flagship; may continue on specialist Hype Cycles</x:v>
      </x:c>
      <x:c r="Q46" s="299" t="str">
        <x:v>Hype cooled / niche</x:v>
      </x:c>
      <x:c r="R46" s="299" t="str">
        <x:v>By 2026 the original hype has materially cooled; use persists in narrower or redefined applications rather than the broad promise implied at peak.</x:v>
      </x:c>
      <x:c r="S46" s="299" t="str"/>
      <x:c r="T46" s="300" t="str">
        <x:f>IFERROR(INDEX($C46:$L46,1,MATCH($N46,$C$4:$L$4,0)),"")</x:f>
        <x:v>TD</x:v>
      </x:c>
      <x:c r="U46" s="300" t="n">
        <x:f>IFERROR(VLOOKUP(T46,'Adoption Methodology'!$F$18:$G$22,2,FALSE),"")</x:f>
        <x:v>2</x:v>
      </x:c>
      <x:c r="V46" s="299" t="str">
        <x:f>IFERROR(VLOOKUP(U46,'Adoption Methodology'!$A$5:$C$10,3,FALSE),"")</x:f>
        <x:v>≈5–15% of relevant market; credible deployments but limited scale</x:v>
      </x:c>
      <x:c r="W46" s="300" t="n">
        <x:f>IFERROR(VLOOKUP(Q46,'Adoption Methodology'!$F$5:$H$12,2,FALSE),"")</x:f>
        <x:v>2</x:v>
      </x:c>
      <x:c r="X46" s="299" t="str">
        <x:f>IFERROR(VLOOKUP(W46,'Adoption Methodology'!$A$5:$C$10,3,FALSE),"")</x:f>
        <x:v>≈5–15% of relevant market; credible deployments but limited scale</x:v>
      </x:c>
      <x:c r="Y46" s="300" t="n">
        <x:f>IF(OR(U46="",W46=""),"",W46-U46)</x:f>
        <x:v>0</x:v>
      </x:c>
      <x:c r="Z46" s="299" t="str">
        <x:f>IF(Y46="","",IF(Y46&gt;0,"Adoption increased",IF(Y46=0,"Broadly unchanged","Adoption maturity lower")))</x:f>
      </x:c>
      <x:c r="AA46" s="300" t="str">
        <x:f>IFERROR(VLOOKUP(Q46,'Adoption Methodology'!$F$5:$H$12,3,FALSE),"Medium")</x:f>
        <x:v>Medium</x:v>
      </x:c>
      <x:c r="AB46" s="299" t="str">
        <x:f>IFERROR(VLOOKUP(A46,'Adoption Methodology'!$K$5:$L$14,2,FALSE),IFERROR(VLOOKUP(B46,'Adoption Methodology'!$N$5:$O$16,2,FALSE),"https://www.gartner.com/en/information-technology/technology-adoption-roadmaps"))</x:f>
        <x:v>https://www.gartner.com/en/information-technology/technology-adoption-roadmaps</x:v>
      </x:c>
      <x:c r="AC46" s="299" t="str">
        <x:f>IF(R46="","Modelled adoption maturity; see Adoption Methodology.",R46&amp;"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47">
      <x:c r="A47" s="299" t="str">
        <x:v>Carbon Nanotube</x:v>
      </x:c>
      <x:c r="B47" s="299" t="str">
        <x:v>Materials / Bio / Physical</x:v>
      </x:c>
      <x:c r="C47" s="300" t="str"/>
      <x:c r="D47" s="300" t="str"/>
      <x:c r="E47" s="300" t="str">
        <x:v>PE</x:v>
      </x:c>
      <x:c r="F47" s="300" t="str"/>
      <x:c r="G47" s="300" t="str"/>
      <x:c r="H47" s="300" t="str"/>
      <x:c r="I47" s="300" t="str"/>
      <x:c r="J47" s="300" t="str"/>
      <x:c r="K47" s="300" t="str"/>
      <x:c r="L47" s="300" t="str"/>
      <x:c r="M47" s="300" t="n">
        <x:f>COUNTIF(C47:L47,"IT")+COUNTIF(C47:L47,"PE")+COUNTIF(C47:L47,"TD")+COUNTIF(C47:L47,"SE")+COUNTIF(C47:L47,"PP")</x:f>
        <x:v>1</x:v>
      </x:c>
      <x:c r="N47" s="300" t="n">
        <x:f>IF(C47&lt;&gt;"",2016,IF(D47&lt;&gt;"",2017,IF(E47&lt;&gt;"",2018,IF(F47&lt;&gt;"",2019,IF(G47&lt;&gt;"",2020,IF(H47&lt;&gt;"",2021,IF(I47&lt;&gt;"",2022,IF(J47&lt;&gt;"",2023,IF(K47&lt;&gt;"",2024,IF(L47&lt;&gt;"",2025,""))))))))))</x:f>
        <x:v>2018</x:v>
      </x:c>
      <x:c r="O47" s="300" t="n">
        <x:f>IF(L47&lt;&gt;"",2025,IF(K47&lt;&gt;"",2024,IF(J47&lt;&gt;"",2023,IF(I47&lt;&gt;"",2022,IF(H47&lt;&gt;"",2021,IF(G47&lt;&gt;"",2020,IF(F47&lt;&gt;"",2019,IF(E47&lt;&gt;"",2018,IF(D47&lt;&gt;"",2017,IF(C47&lt;&gt;"",2016,""))))))))))</x:f>
        <x:v>2018</x:v>
      </x:c>
      <x:c r="P47" s="299" t="str">
        <x:v>Exited flagship; may continue on specialist Hype Cycles</x:v>
      </x:c>
      <x:c r="Q47" s="299" t="str">
        <x:v>Still emerging / long-horizon</x:v>
      </x:c>
      <x:c r="R47" s="299" t="str">
        <x:v>By 2026 the technology remains emerging, research-heavy or constrained by economics, engineering, regulation or deployment scale.</x:v>
      </x:c>
      <x:c r="S47" s="299" t="str">
        <x:v>Related earlier label: Nanotube Electronics.</x:v>
      </x:c>
      <x:c r="T47" s="300" t="str">
        <x:f>IFERROR(INDEX($C47:$L47,1,MATCH($N47,$C$4:$L$4,0)),"")</x:f>
        <x:v>PE</x:v>
      </x:c>
      <x:c r="U47" s="300" t="n">
        <x:f>IFERROR(VLOOKUP(T47,'Adoption Methodology'!$F$18:$G$22,2,FALSE),"")</x:f>
        <x:v>2</x:v>
      </x:c>
      <x:c r="V47" s="299" t="str">
        <x:f>IFERROR(VLOOKUP(U47,'Adoption Methodology'!$A$5:$C$10,3,FALSE),"")</x:f>
        <x:v>≈5–15% of relevant market; credible deployments but limited scale</x:v>
      </x:c>
      <x:c r="W47" s="300" t="n">
        <x:f>IFERROR(VLOOKUP(Q47,'Adoption Methodology'!$F$5:$H$12,2,FALSE),"")</x:f>
        <x:v>1</x:v>
      </x:c>
      <x:c r="X47" s="299" t="str">
        <x:f>IFERROR(VLOOKUP(W47,'Adoption Methodology'!$A$5:$C$10,3,FALSE),"")</x:f>
        <x:v>≈1–5% of relevant market; prototypes, pilots or very early deployments</x:v>
      </x:c>
      <x:c r="Y47" s="300" t="n">
        <x:f>IF(OR(U47="",W47=""),"",W47-U47)</x:f>
        <x:v>-1</x:v>
      </x:c>
      <x:c r="Z47" s="299" t="str">
        <x:f>IF(Y47="","",IF(Y47&gt;0,"Adoption increased",IF(Y47=0,"Broadly unchanged","Adoption maturity lower")))</x:f>
        <x:v>Adoption maturity lower</x:v>
      </x:c>
      <x:c r="AA47" s="300" t="str">
        <x:f>IFERROR(VLOOKUP(Q47,'Adoption Methodology'!$F$5:$H$12,3,FALSE),"Medium")</x:f>
        <x:v>Medium</x:v>
      </x:c>
      <x:c r="AB47" s="299" t="str">
        <x:f>IFERROR(VLOOKUP(A47,'Adoption Methodology'!$K$5:$L$14,2,FALSE),IFERROR(VLOOKUP(B47,'Adoption Methodology'!$N$5:$O$16,2,FALSE),"https://www.gartner.com/en/information-technology/technology-adoption-roadmaps"))</x:f>
        <x:v>https://www.gartner.com/en/information-technology/technology-adoption-roadmaps</x:v>
      </x:c>
      <x:c r="AC47" s="299" t="str">
        <x:f>IF(R47="","Modelled adoption maturity; see Adoption Methodology.",R47&amp;"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48">
      <x:c r="A48" s="299" t="str">
        <x:v>Carbon-Based Transistors</x:v>
      </x:c>
      <x:c r="B48" s="299" t="str">
        <x:v>Business / Emerging Technology</x:v>
      </x:c>
      <x:c r="C48" s="300" t="str"/>
      <x:c r="D48" s="300" t="str"/>
      <x:c r="E48" s="300" t="str"/>
      <x:c r="F48" s="300" t="str"/>
      <x:c r="G48" s="300" t="str">
        <x:v>TD</x:v>
      </x:c>
      <x:c r="H48" s="300" t="str"/>
      <x:c r="I48" s="300" t="str"/>
      <x:c r="J48" s="300" t="str"/>
      <x:c r="K48" s="300" t="str"/>
      <x:c r="L48" s="300" t="str"/>
      <x:c r="M48" s="300" t="n">
        <x:f>COUNTIF(C48:L48,"IT")+COUNTIF(C48:L48,"PE")+COUNTIF(C48:L48,"TD")+COUNTIF(C48:L48,"SE")+COUNTIF(C48:L48,"PP")</x:f>
        <x:v>1</x:v>
      </x:c>
      <x:c r="N48" s="300" t="n">
        <x:f>IF(C48&lt;&gt;"",2016,IF(D48&lt;&gt;"",2017,IF(E48&lt;&gt;"",2018,IF(F48&lt;&gt;"",2019,IF(G48&lt;&gt;"",2020,IF(H48&lt;&gt;"",2021,IF(I48&lt;&gt;"",2022,IF(J48&lt;&gt;"",2023,IF(K48&lt;&gt;"",2024,IF(L48&lt;&gt;"",2025,""))))))))))</x:f>
        <x:v>2020</x:v>
      </x:c>
      <x:c r="O48" s="300" t="n">
        <x:f>IF(L48&lt;&gt;"",2025,IF(K48&lt;&gt;"",2024,IF(J48&lt;&gt;"",2023,IF(I48&lt;&gt;"",2022,IF(H48&lt;&gt;"",2021,IF(G48&lt;&gt;"",2020,IF(F48&lt;&gt;"",2019,IF(E48&lt;&gt;"",2018,IF(D48&lt;&gt;"",2017,IF(C48&lt;&gt;"",2016,""))))))))))</x:f>
        <x:v>2020</x:v>
      </x:c>
      <x:c r="P48" s="299" t="str">
        <x:v>Exited flagship; may continue on specialist Hype Cycles</x:v>
      </x:c>
      <x:c r="Q48" s="299" t="str">
        <x:v>Still emerging / long-horizon</x:v>
      </x:c>
      <x:c r="R48" s="299" t="str">
        <x:v>By 2026 the technology remains emerging, research-heavy or constrained by economics, engineering, regulation or deployment scale.</x:v>
      </x:c>
      <x:c r="S48" s="299" t="str"/>
      <x:c r="T48" s="300" t="str">
        <x:f>IFERROR(INDEX($C48:$L48,1,MATCH($N48,$C$4:$L$4,0)),"")</x:f>
        <x:v>TD</x:v>
      </x:c>
      <x:c r="U48" s="300" t="n">
        <x:f>IFERROR(VLOOKUP(T48,'Adoption Methodology'!$F$18:$G$22,2,FALSE),"")</x:f>
        <x:v>2</x:v>
      </x:c>
      <x:c r="V48" s="299" t="str">
        <x:f>IFERROR(VLOOKUP(U48,'Adoption Methodology'!$A$5:$C$10,3,FALSE),"")</x:f>
        <x:v>≈5–15% of relevant market; credible deployments but limited scale</x:v>
      </x:c>
      <x:c r="W48" s="300" t="n">
        <x:f>IFERROR(VLOOKUP(Q48,'Adoption Methodology'!$F$5:$H$12,2,FALSE),"")</x:f>
        <x:v>1</x:v>
      </x:c>
      <x:c r="X48" s="299" t="str">
        <x:f>IFERROR(VLOOKUP(W48,'Adoption Methodology'!$A$5:$C$10,3,FALSE),"")</x:f>
        <x:v>≈1–5% of relevant market; prototypes, pilots or very early deployments</x:v>
      </x:c>
      <x:c r="Y48" s="300" t="n">
        <x:f>IF(OR(U48="",W48=""),"",W48-U48)</x:f>
        <x:v>-1</x:v>
      </x:c>
      <x:c r="Z48" s="299" t="str">
        <x:f>IF(Y48="","",IF(Y48&gt;0,"Adoption increased",IF(Y48=0,"Broadly unchanged","Adoption maturity lower")))</x:f>
        <x:v>Adoption maturity lower</x:v>
      </x:c>
      <x:c r="AA48" s="300" t="str">
        <x:f>IFERROR(VLOOKUP(Q48,'Adoption Methodology'!$F$5:$H$12,3,FALSE),"Medium")</x:f>
        <x:v>Medium</x:v>
      </x:c>
      <x:c r="AB48" s="299" t="str">
        <x:f>IFERROR(VLOOKUP(A48,'Adoption Methodology'!$K$5:$L$14,2,FALSE),IFERROR(VLOOKUP(B48,'Adoption Methodology'!$N$5:$O$16,2,FALSE),"https://www.gartner.com/en/information-technology/technology-adoption-roadmaps"))</x:f>
        <x:v>https://www.gartner.com/en/information-technology/technology-adoption-roadmaps</x:v>
      </x:c>
      <x:c r="AC48" s="299" t="str">
        <x:f>IF(R48="","Modelled adoption maturity; see Adoption Methodology.",R48&amp;"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49">
      <x:c r="A49" s="299" t="str">
        <x:v>Causal AI</x:v>
      </x:c>
      <x:c r="B49" s="299" t="str">
        <x:v>AI / Data / Analytics</x:v>
      </x:c>
      <x:c r="C49" s="300" t="str"/>
      <x:c r="D49" s="300" t="str"/>
      <x:c r="E49" s="300" t="str"/>
      <x:c r="F49" s="300" t="str"/>
      <x:c r="G49" s="300" t="str"/>
      <x:c r="H49" s="300" t="str"/>
      <x:c r="I49" s="300" t="str">
        <x:v>IT</x:v>
      </x:c>
      <x:c r="J49" s="300" t="str">
        <x:v>IT</x:v>
      </x:c>
      <x:c r="K49" s="300" t="str"/>
      <x:c r="L49" s="300" t="str"/>
      <x:c r="M49" s="300" t="n">
        <x:f>COUNTIF(C49:L49,"IT")+COUNTIF(C49:L49,"PE")+COUNTIF(C49:L49,"TD")+COUNTIF(C49:L49,"SE")+COUNTIF(C49:L49,"PP")</x:f>
        <x:v>2</x:v>
      </x:c>
      <x:c r="N49" s="300" t="n">
        <x:f>IF(C49&lt;&gt;"",2016,IF(D49&lt;&gt;"",2017,IF(E49&lt;&gt;"",2018,IF(F49&lt;&gt;"",2019,IF(G49&lt;&gt;"",2020,IF(H49&lt;&gt;"",2021,IF(I49&lt;&gt;"",2022,IF(J49&lt;&gt;"",2023,IF(K49&lt;&gt;"",2024,IF(L49&lt;&gt;"",2025,""))))))))))</x:f>
        <x:v>2022</x:v>
      </x:c>
      <x:c r="O49" s="300" t="n">
        <x:f>IF(L49&lt;&gt;"",2025,IF(K49&lt;&gt;"",2024,IF(J49&lt;&gt;"",2023,IF(I49&lt;&gt;"",2022,IF(H49&lt;&gt;"",2021,IF(G49&lt;&gt;"",2020,IF(F49&lt;&gt;"",2019,IF(E49&lt;&gt;"",2018,IF(D49&lt;&gt;"",2017,IF(C49&lt;&gt;"",2016,""))))))))))</x:f>
        <x:v>2023</x:v>
      </x:c>
      <x:c r="P49" s="299" t="str">
        <x:v>Exited flagship; may continue on specialist Hype Cycles</x:v>
      </x:c>
      <x:c r="Q49" s="299" t="str">
        <x:v>Exited flagship / evolving</x:v>
      </x:c>
      <x:c r="R49" s="299" t="str">
        <x:v>The label left the flagship cycle; Gartner’s flagship is deliberately dynamic, so exit should not be read as failure without checking specialist Hype Cycles.</x:v>
      </x:c>
      <x:c r="S49" s="299" t="str"/>
      <x:c r="T49" s="300" t="str">
        <x:f>IFERROR(INDEX($C49:$L49,1,MATCH($N49,$C$4:$L$4,0)),"")</x:f>
        <x:v>IT</x:v>
      </x:c>
      <x:c r="U49" s="300" t="n">
        <x:f>IFERROR(VLOOKUP(T49,'Adoption Methodology'!$F$18:$G$22,2,FALSE),"")</x:f>
        <x:v>1</x:v>
      </x:c>
      <x:c r="V49" s="299" t="str">
        <x:f>IFERROR(VLOOKUP(U49,'Adoption Methodology'!$A$5:$C$10,3,FALSE),"")</x:f>
        <x:v>≈1–5% of relevant market; prototypes, pilots or very early deployments</x:v>
      </x:c>
      <x:c r="W49" s="300" t="n">
        <x:f>IFERROR(VLOOKUP(Q49,'Adoption Methodology'!$F$5:$H$12,2,FALSE),"")</x:f>
        <x:v>2</x:v>
      </x:c>
      <x:c r="X49" s="299" t="str">
        <x:f>IFERROR(VLOOKUP(W49,'Adoption Methodology'!$A$5:$C$10,3,FALSE),"")</x:f>
        <x:v>≈5–15% of relevant market; credible deployments but limited scale</x:v>
      </x:c>
      <x:c r="Y49" s="300" t="n">
        <x:f>IF(OR(U49="",W49=""),"",W49-U49)</x:f>
        <x:v>1</x:v>
      </x:c>
      <x:c r="Z49" s="299" t="str">
        <x:f>IF(Y49="","",IF(Y49&gt;0,"Adoption increased",IF(Y49=0,"Broadly unchanged","Adoption maturity lower")))</x:f>
        <x:v>Adoption increased</x:v>
      </x:c>
      <x:c r="AA49" s="300" t="str">
        <x:f>IFERROR(VLOOKUP(Q49,'Adoption Methodology'!$F$5:$H$12,3,FALSE),"Medium")</x:f>
        <x:v>Medium-Low</x:v>
      </x:c>
      <x:c r="AB49" s="299" t="str">
        <x:f>IFERROR(VLOOKUP(A49,'Adoption Methodology'!$K$5:$L$14,2,FALSE),IFERROR(VLOOKUP(B49,'Adoption Methodology'!$N$5:$O$16,2,FALSE),"https://www.gartner.com/en/information-technology/technology-adoption-roadmaps"))</x:f>
        <x:v>https://www.mckinsey.com/capabilities/quantumblack/our-insights/the-state-of-ai</x:v>
      </x:c>
      <x:c r="AC49" s="299" t="str">
        <x:f>IF(R49="","Modelled adoption maturity; see Adoption Methodology.",R49&amp;"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50">
      <x:c r="A50" s="299" t="str">
        <x:v>Citizen Twin</x:v>
      </x:c>
      <x:c r="B50" s="299" t="str">
        <x:v>Business / Emerging Technology</x:v>
      </x:c>
      <x:c r="C50" s="300" t="str"/>
      <x:c r="D50" s="300" t="str"/>
      <x:c r="E50" s="300" t="str"/>
      <x:c r="F50" s="300" t="str"/>
      <x:c r="G50" s="300" t="str">
        <x:v>IT</x:v>
      </x:c>
      <x:c r="H50" s="300" t="str"/>
      <x:c r="I50" s="300" t="str"/>
      <x:c r="J50" s="300" t="str"/>
      <x:c r="K50" s="300" t="str"/>
      <x:c r="L50" s="300" t="str"/>
      <x:c r="M50" s="300" t="n">
        <x:f>COUNTIF(C50:L50,"IT")+COUNTIF(C50:L50,"PE")+COUNTIF(C50:L50,"TD")+COUNTIF(C50:L50,"SE")+COUNTIF(C50:L50,"PP")</x:f>
        <x:v>1</x:v>
      </x:c>
      <x:c r="N50" s="300" t="n">
        <x:f>IF(C50&lt;&gt;"",2016,IF(D50&lt;&gt;"",2017,IF(E50&lt;&gt;"",2018,IF(F50&lt;&gt;"",2019,IF(G50&lt;&gt;"",2020,IF(H50&lt;&gt;"",2021,IF(I50&lt;&gt;"",2022,IF(J50&lt;&gt;"",2023,IF(K50&lt;&gt;"",2024,IF(L50&lt;&gt;"",2025,""))))))))))</x:f>
        <x:v>2020</x:v>
      </x:c>
      <x:c r="O50" s="300" t="n">
        <x:f>IF(L50&lt;&gt;"",2025,IF(K50&lt;&gt;"",2024,IF(J50&lt;&gt;"",2023,IF(I50&lt;&gt;"",2022,IF(H50&lt;&gt;"",2021,IF(G50&lt;&gt;"",2020,IF(F50&lt;&gt;"",2019,IF(E50&lt;&gt;"",2018,IF(D50&lt;&gt;"",2017,IF(C50&lt;&gt;"",2016,""))))))))))</x:f>
        <x:v>2020</x:v>
      </x:c>
      <x:c r="P50" s="299" t="str">
        <x:v>Exited flagship; may continue on specialist Hype Cycles</x:v>
      </x:c>
      <x:c r="Q50" s="299" t="str">
        <x:v>Exited flagship / specialist</x:v>
      </x:c>
      <x:c r="R50" s="299" t="str">
        <x:v>The label left the flagship cycle and is now best viewed as specialist, absorbed into adjacent categories, or lower-profile rather than a simple success/failure.</x:v>
      </x:c>
      <x:c r="S50" s="299" t="str"/>
      <x:c r="T50" s="300" t="str">
        <x:f>IFERROR(INDEX($C50:$L50,1,MATCH($N50,$C$4:$L$4,0)),"")</x:f>
        <x:v>IT</x:v>
      </x:c>
      <x:c r="U50" s="300" t="n">
        <x:f>IFERROR(VLOOKUP(T50,'Adoption Methodology'!$F$18:$G$22,2,FALSE),"")</x:f>
        <x:v>1</x:v>
      </x:c>
      <x:c r="V50" s="299" t="str">
        <x:f>IFERROR(VLOOKUP(U50,'Adoption Methodology'!$A$5:$C$10,3,FALSE),"")</x:f>
        <x:v>≈1–5% of relevant market; prototypes, pilots or very early deployments</x:v>
      </x:c>
      <x:c r="W50" s="300" t="n">
        <x:f>IFERROR(VLOOKUP(Q50,'Adoption Methodology'!$F$5:$H$12,2,FALSE),"")</x:f>
        <x:v>3</x:v>
      </x:c>
      <x:c r="X50" s="299" t="str">
        <x:f>IFERROR(VLOOKUP(W50,'Adoption Methodology'!$A$5:$C$10,3,FALSE),"")</x:f>
        <x:v>≈15–35% of relevant market, or capability absorbed into successor platforms</x:v>
      </x:c>
      <x:c r="Y50" s="300" t="n">
        <x:f>IF(OR(U50="",W50=""),"",W50-U50)</x:f>
        <x:v>2</x:v>
      </x:c>
      <x:c r="Z50" s="299" t="str">
        <x:f>IF(Y50="","",IF(Y50&gt;0,"Adoption increased",IF(Y50=0,"Broadly unchanged","Adoption maturity lower")))</x:f>
        <x:v>Adoption increased</x:v>
      </x:c>
      <x:c r="AA50" s="300" t="str">
        <x:f>IFERROR(VLOOKUP(Q50,'Adoption Methodology'!$F$5:$H$12,3,FALSE),"Medium")</x:f>
        <x:v>Medium</x:v>
      </x:c>
      <x:c r="AB50" s="299" t="str">
        <x:f>IFERROR(VLOOKUP(A50,'Adoption Methodology'!$K$5:$L$14,2,FALSE),IFERROR(VLOOKUP(B50,'Adoption Methodology'!$N$5:$O$16,2,FALSE),"https://www.gartner.com/en/information-technology/technology-adoption-roadmaps"))</x:f>
        <x:v>https://www.gartner.com/en/information-technology/technology-adoption-roadmaps</x:v>
      </x:c>
      <x:c r="AC50" s="299" t="str">
        <x:f>IF(R50="","Modelled adoption maturity; see Adoption Methodology.",R50&amp;"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51">
      <x:c r="A51" s="299" t="str">
        <x:v>Cloud Data Ecosystems</x:v>
      </x:c>
      <x:c r="B51" s="299" t="str">
        <x:v>Cloud / Software Engineering</x:v>
      </x:c>
      <x:c r="C51" s="300" t="str"/>
      <x:c r="D51" s="300" t="str"/>
      <x:c r="E51" s="300" t="str"/>
      <x:c r="F51" s="300" t="str"/>
      <x:c r="G51" s="300" t="str"/>
      <x:c r="H51" s="300" t="str"/>
      <x:c r="I51" s="300" t="str">
        <x:v>PE</x:v>
      </x:c>
      <x:c r="J51" s="300" t="str"/>
      <x:c r="K51" s="300" t="str"/>
      <x:c r="L51" s="300" t="str"/>
      <x:c r="M51" s="300" t="n">
        <x:f>COUNTIF(C51:L51,"IT")+COUNTIF(C51:L51,"PE")+COUNTIF(C51:L51,"TD")+COUNTIF(C51:L51,"SE")+COUNTIF(C51:L51,"PP")</x:f>
        <x:v>1</x:v>
      </x:c>
      <x:c r="N51" s="300" t="n">
        <x:f>IF(C51&lt;&gt;"",2016,IF(D51&lt;&gt;"",2017,IF(E51&lt;&gt;"",2018,IF(F51&lt;&gt;"",2019,IF(G51&lt;&gt;"",2020,IF(H51&lt;&gt;"",2021,IF(I51&lt;&gt;"",2022,IF(J51&lt;&gt;"",2023,IF(K51&lt;&gt;"",2024,IF(L51&lt;&gt;"",2025,""))))))))))</x:f>
        <x:v>2022</x:v>
      </x:c>
      <x:c r="O51" s="300" t="n">
        <x:f>IF(L51&lt;&gt;"",2025,IF(K51&lt;&gt;"",2024,IF(J51&lt;&gt;"",2023,IF(I51&lt;&gt;"",2022,IF(H51&lt;&gt;"",2021,IF(G51&lt;&gt;"",2020,IF(F51&lt;&gt;"",2019,IF(E51&lt;&gt;"",2018,IF(D51&lt;&gt;"",2017,IF(C51&lt;&gt;"",2016,""))))))))))</x:f>
        <x:v>2022</x:v>
      </x:c>
      <x:c r="P51" s="299" t="str">
        <x:v>Exited flagship; may continue on specialist Hype Cycles</x:v>
      </x:c>
      <x:c r="Q51" s="299" t="str">
        <x:v>Established / specialist</x:v>
      </x:c>
      <x:c r="R51" s="299" t="str">
        <x:v>By 2026 there are credible production uses and vendors, but adoption is concentrated in particular workloads, industries or architectures rather than universal.</x:v>
      </x:c>
      <x:c r="S51" s="299" t="str"/>
      <x:c r="T51" s="300" t="str">
        <x:f>IFERROR(INDEX($C51:$L51,1,MATCH($N51,$C$4:$L$4,0)),"")</x:f>
        <x:v>PE</x:v>
      </x:c>
      <x:c r="U51" s="300" t="n">
        <x:f>IFERROR(VLOOKUP(T51,'Adoption Methodology'!$F$18:$G$22,2,FALSE),"")</x:f>
        <x:v>2</x:v>
      </x:c>
      <x:c r="V51" s="299" t="str">
        <x:f>IFERROR(VLOOKUP(U51,'Adoption Methodology'!$A$5:$C$10,3,FALSE),"")</x:f>
        <x:v>≈5–15% of relevant market; credible deployments but limited scale</x:v>
      </x:c>
      <x:c r="W51" s="300" t="n">
        <x:f>IFERROR(VLOOKUP(Q51,'Adoption Methodology'!$F$5:$H$12,2,FALSE),"")</x:f>
        <x:v>4</x:v>
      </x:c>
      <x:c r="X51" s="299" t="str">
        <x:f>IFERROR(VLOOKUP(W51,'Adoption Methodology'!$A$5:$C$10,3,FALSE),"")</x:f>
        <x:v>≈35–60% within the addressable segment; mature specialist use</x:v>
      </x:c>
      <x:c r="Y51" s="300" t="n">
        <x:f>IF(OR(U51="",W51=""),"",W51-U51)</x:f>
        <x:v>2</x:v>
      </x:c>
      <x:c r="Z51" s="299" t="str">
        <x:f>IF(Y51="","",IF(Y51&gt;0,"Adoption increased",IF(Y51=0,"Broadly unchanged","Adoption maturity lower")))</x:f>
        <x:v>Adoption increased</x:v>
      </x:c>
      <x:c r="AA51" s="300" t="str">
        <x:f>IFERROR(VLOOKUP(Q51,'Adoption Methodology'!$F$5:$H$12,3,FALSE),"Medium")</x:f>
        <x:v>High</x:v>
      </x:c>
      <x:c r="AB51" s="299" t="str">
        <x:f>IFERROR(VLOOKUP(A51,'Adoption Methodology'!$K$5:$L$14,2,FALSE),IFERROR(VLOOKUP(B51,'Adoption Methodology'!$N$5:$O$16,2,FALSE),"https://www.gartner.com/en/information-technology/technology-adoption-roadmaps"))</x:f>
        <x:v>https://www.cncf.io/reports/the-cncf-annual-cloud-native-survey/</x:v>
      </x:c>
      <x:c r="AC51" s="299" t="str">
        <x:f>IF(R51="","Modelled adoption maturity; see Adoption Methodology.",R51&amp;"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52">
      <x:c r="A52" s="299" t="str">
        <x:v>Cloud Development Environments</x:v>
      </x:c>
      <x:c r="B52" s="299" t="str">
        <x:v>Cloud / Software Engineering</x:v>
      </x:c>
      <x:c r="C52" s="300" t="str"/>
      <x:c r="D52" s="300" t="str"/>
      <x:c r="E52" s="300" t="str"/>
      <x:c r="F52" s="300" t="str"/>
      <x:c r="G52" s="300" t="str"/>
      <x:c r="H52" s="300" t="str"/>
      <x:c r="I52" s="300" t="str"/>
      <x:c r="J52" s="300" t="str">
        <x:v>IT</x:v>
      </x:c>
      <x:c r="K52" s="300" t="str"/>
      <x:c r="L52" s="300" t="str"/>
      <x:c r="M52" s="300" t="n">
        <x:f>COUNTIF(C52:L52,"IT")+COUNTIF(C52:L52,"PE")+COUNTIF(C52:L52,"TD")+COUNTIF(C52:L52,"SE")+COUNTIF(C52:L52,"PP")</x:f>
        <x:v>1</x:v>
      </x:c>
      <x:c r="N52" s="300" t="n">
        <x:f>IF(C52&lt;&gt;"",2016,IF(D52&lt;&gt;"",2017,IF(E52&lt;&gt;"",2018,IF(F52&lt;&gt;"",2019,IF(G52&lt;&gt;"",2020,IF(H52&lt;&gt;"",2021,IF(I52&lt;&gt;"",2022,IF(J52&lt;&gt;"",2023,IF(K52&lt;&gt;"",2024,IF(L52&lt;&gt;"",2025,""))))))))))</x:f>
        <x:v>2023</x:v>
      </x:c>
      <x:c r="O52" s="300" t="n">
        <x:f>IF(L52&lt;&gt;"",2025,IF(K52&lt;&gt;"",2024,IF(J52&lt;&gt;"",2023,IF(I52&lt;&gt;"",2022,IF(H52&lt;&gt;"",2021,IF(G52&lt;&gt;"",2020,IF(F52&lt;&gt;"",2019,IF(E52&lt;&gt;"",2018,IF(D52&lt;&gt;"",2017,IF(C52&lt;&gt;"",2016,""))))))))))</x:f>
        <x:v>2023</x:v>
      </x:c>
      <x:c r="P52" s="299" t="str">
        <x:v>Exited flagship; may continue on specialist Hype Cycles</x:v>
      </x:c>
      <x:c r="Q52" s="299" t="str">
        <x:v>Established / mainstream</x:v>
      </x:c>
      <x:c r="R52" s="299" t="str">
        <x:v>By 2026 this capability is commercially established or embedded in mainstream enterprise/consumer technology, even if the original Gartner label is no longer prominent.</x:v>
      </x:c>
      <x:c r="S52" s="299" t="str"/>
      <x:c r="T52" s="300" t="str">
        <x:f>IFERROR(INDEX($C52:$L52,1,MATCH($N52,$C$4:$L$4,0)),"")</x:f>
        <x:v>IT</x:v>
      </x:c>
      <x:c r="U52" s="300" t="n">
        <x:f>IFERROR(VLOOKUP(T52,'Adoption Methodology'!$F$18:$G$22,2,FALSE),"")</x:f>
        <x:v>1</x:v>
      </x:c>
      <x:c r="V52" s="299" t="str">
        <x:f>IFERROR(VLOOKUP(U52,'Adoption Methodology'!$A$5:$C$10,3,FALSE),"")</x:f>
        <x:v>≈1–5% of relevant market; prototypes, pilots or very early deployments</x:v>
      </x:c>
      <x:c r="W52" s="300" t="n">
        <x:f>IFERROR(VLOOKUP(Q52,'Adoption Methodology'!$F$5:$H$12,2,FALSE),"")</x:f>
        <x:v>5</x:v>
      </x:c>
      <x:c r="X52" s="299" t="str">
        <x:f>IFERROR(VLOOKUP(W52,'Adoption Methodology'!$A$5:$C$10,3,FALSE),"")</x:f>
        <x:v>&gt;60% in leading/addressable segments, or effectively a standard/default capability</x:v>
      </x:c>
      <x:c r="Y52" s="300" t="n">
        <x:f>IF(OR(U52="",W52=""),"",W52-U52)</x:f>
        <x:v>4</x:v>
      </x:c>
      <x:c r="Z52" s="299" t="str">
        <x:f>IF(Y52="","",IF(Y52&gt;0,"Adoption increased",IF(Y52=0,"Broadly unchanged","Adoption maturity lower")))</x:f>
        <x:v>Adoption increased</x:v>
      </x:c>
      <x:c r="AA52" s="300" t="str">
        <x:f>IFERROR(VLOOKUP(Q52,'Adoption Methodology'!$F$5:$H$12,3,FALSE),"Medium")</x:f>
        <x:v>High</x:v>
      </x:c>
      <x:c r="AB52" s="299" t="str">
        <x:f>IFERROR(VLOOKUP(A52,'Adoption Methodology'!$K$5:$L$14,2,FALSE),IFERROR(VLOOKUP(B52,'Adoption Methodology'!$N$5:$O$16,2,FALSE),"https://www.gartner.com/en/information-technology/technology-adoption-roadmaps"))</x:f>
        <x:v>https://www.cncf.io/reports/the-cncf-annual-cloud-native-survey/</x:v>
      </x:c>
      <x:c r="AC52" s="299" t="str">
        <x:f>IF(R52="","Modelled adoption maturity; see Adoption Methodology.",R52&amp;"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53">
      <x:c r="A53" s="299" t="str">
        <x:v>Cloud Sustainability</x:v>
      </x:c>
      <x:c r="B53" s="299" t="str">
        <x:v>Cloud / Software Engineering</x:v>
      </x:c>
      <x:c r="C53" s="300" t="str"/>
      <x:c r="D53" s="300" t="str"/>
      <x:c r="E53" s="300" t="str"/>
      <x:c r="F53" s="300" t="str"/>
      <x:c r="G53" s="300" t="str"/>
      <x:c r="H53" s="300" t="str"/>
      <x:c r="I53" s="300" t="str">
        <x:v>IT</x:v>
      </x:c>
      <x:c r="J53" s="300" t="str">
        <x:v>IT</x:v>
      </x:c>
      <x:c r="K53" s="300" t="str"/>
      <x:c r="L53" s="300" t="str"/>
      <x:c r="M53" s="300" t="n">
        <x:f>COUNTIF(C53:L53,"IT")+COUNTIF(C53:L53,"PE")+COUNTIF(C53:L53,"TD")+COUNTIF(C53:L53,"SE")+COUNTIF(C53:L53,"PP")</x:f>
        <x:v>2</x:v>
      </x:c>
      <x:c r="N53" s="300" t="n">
        <x:f>IF(C53&lt;&gt;"",2016,IF(D53&lt;&gt;"",2017,IF(E53&lt;&gt;"",2018,IF(F53&lt;&gt;"",2019,IF(G53&lt;&gt;"",2020,IF(H53&lt;&gt;"",2021,IF(I53&lt;&gt;"",2022,IF(J53&lt;&gt;"",2023,IF(K53&lt;&gt;"",2024,IF(L53&lt;&gt;"",2025,""))))))))))</x:f>
        <x:v>2022</x:v>
      </x:c>
      <x:c r="O53" s="300" t="n">
        <x:f>IF(L53&lt;&gt;"",2025,IF(K53&lt;&gt;"",2024,IF(J53&lt;&gt;"",2023,IF(I53&lt;&gt;"",2022,IF(H53&lt;&gt;"",2021,IF(G53&lt;&gt;"",2020,IF(F53&lt;&gt;"",2019,IF(E53&lt;&gt;"",2018,IF(D53&lt;&gt;"",2017,IF(C53&lt;&gt;"",2016,""))))))))))</x:f>
        <x:v>2023</x:v>
      </x:c>
      <x:c r="P53" s="299" t="str">
        <x:v>Exited flagship; may continue on specialist Hype Cycles</x:v>
      </x:c>
      <x:c r="Q53" s="299" t="str">
        <x:v>Established / mainstream</x:v>
      </x:c>
      <x:c r="R53" s="299" t="str">
        <x:v>By 2026 this capability is commercially established or embedded in mainstream enterprise/consumer technology, even if the original Gartner label is no longer prominent.</x:v>
      </x:c>
      <x:c r="S53" s="299" t="str"/>
      <x:c r="T53" s="300" t="str">
        <x:f>IFERROR(INDEX($C53:$L53,1,MATCH($N53,$C$4:$L$4,0)),"")</x:f>
        <x:v>IT</x:v>
      </x:c>
      <x:c r="U53" s="300" t="n">
        <x:f>IFERROR(VLOOKUP(T53,'Adoption Methodology'!$F$18:$G$22,2,FALSE),"")</x:f>
        <x:v>1</x:v>
      </x:c>
      <x:c r="V53" s="299" t="str">
        <x:f>IFERROR(VLOOKUP(U53,'Adoption Methodology'!$A$5:$C$10,3,FALSE),"")</x:f>
        <x:v>≈1–5% of relevant market; prototypes, pilots or very early deployments</x:v>
      </x:c>
      <x:c r="W53" s="300" t="n">
        <x:f>IFERROR(VLOOKUP(Q53,'Adoption Methodology'!$F$5:$H$12,2,FALSE),"")</x:f>
        <x:v>5</x:v>
      </x:c>
      <x:c r="X53" s="299" t="str">
        <x:f>IFERROR(VLOOKUP(W53,'Adoption Methodology'!$A$5:$C$10,3,FALSE),"")</x:f>
        <x:v>&gt;60% in leading/addressable segments, or effectively a standard/default capability</x:v>
      </x:c>
      <x:c r="Y53" s="300" t="n">
        <x:f>IF(OR(U53="",W53=""),"",W53-U53)</x:f>
        <x:v>4</x:v>
      </x:c>
      <x:c r="Z53" s="299" t="str">
        <x:f>IF(Y53="","",IF(Y53&gt;0,"Adoption increased",IF(Y53=0,"Broadly unchanged","Adoption maturity lower")))</x:f>
        <x:v>Adoption increased</x:v>
      </x:c>
      <x:c r="AA53" s="300" t="str">
        <x:f>IFERROR(VLOOKUP(Q53,'Adoption Methodology'!$F$5:$H$12,3,FALSE),"Medium")</x:f>
        <x:v>High</x:v>
      </x:c>
      <x:c r="AB53" s="299" t="str">
        <x:f>IFERROR(VLOOKUP(A53,'Adoption Methodology'!$K$5:$L$14,2,FALSE),IFERROR(VLOOKUP(B53,'Adoption Methodology'!$N$5:$O$16,2,FALSE),"https://www.gartner.com/en/information-technology/technology-adoption-roadmaps"))</x:f>
        <x:v>https://www.cncf.io/reports/the-cncf-annual-cloud-native-survey/</x:v>
      </x:c>
      <x:c r="AC53" s="299" t="str">
        <x:f>IF(R53="","Modelled adoption maturity; see Adoption Methodology.",R53&amp;"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54">
      <x:c r="A54" s="299" t="str">
        <x:v>Cloud-Native</x:v>
      </x:c>
      <x:c r="B54" s="299" t="str">
        <x:v>Cloud / Software Engineering</x:v>
      </x:c>
      <x:c r="C54" s="300" t="str"/>
      <x:c r="D54" s="300" t="str"/>
      <x:c r="E54" s="300" t="str"/>
      <x:c r="F54" s="300" t="str"/>
      <x:c r="G54" s="300" t="str"/>
      <x:c r="H54" s="300" t="str"/>
      <x:c r="I54" s="300" t="str"/>
      <x:c r="J54" s="300" t="str">
        <x:v>PE</x:v>
      </x:c>
      <x:c r="K54" s="300" t="str">
        <x:v>PE</x:v>
      </x:c>
      <x:c r="L54" s="300" t="str"/>
      <x:c r="M54" s="300" t="n">
        <x:f>COUNTIF(C54:L54,"IT")+COUNTIF(C54:L54,"PE")+COUNTIF(C54:L54,"TD")+COUNTIF(C54:L54,"SE")+COUNTIF(C54:L54,"PP")</x:f>
        <x:v>2</x:v>
      </x:c>
      <x:c r="N54" s="300" t="n">
        <x:f>IF(C54&lt;&gt;"",2016,IF(D54&lt;&gt;"",2017,IF(E54&lt;&gt;"",2018,IF(F54&lt;&gt;"",2019,IF(G54&lt;&gt;"",2020,IF(H54&lt;&gt;"",2021,IF(I54&lt;&gt;"",2022,IF(J54&lt;&gt;"",2023,IF(K54&lt;&gt;"",2024,IF(L54&lt;&gt;"",2025,""))))))))))</x:f>
        <x:v>2023</x:v>
      </x:c>
      <x:c r="O54" s="300" t="n">
        <x:f>IF(L54&lt;&gt;"",2025,IF(K54&lt;&gt;"",2024,IF(J54&lt;&gt;"",2023,IF(I54&lt;&gt;"",2022,IF(H54&lt;&gt;"",2021,IF(G54&lt;&gt;"",2020,IF(F54&lt;&gt;"",2019,IF(E54&lt;&gt;"",2018,IF(D54&lt;&gt;"",2017,IF(C54&lt;&gt;"",2016,""))))))))))</x:f>
        <x:v>2024</x:v>
      </x:c>
      <x:c r="P54" s="299" t="str">
        <x:v>Exited flagship; may continue on specialist Hype Cycles</x:v>
      </x:c>
      <x:c r="Q54" s="299" t="str">
        <x:v>Established / mainstream</x:v>
      </x:c>
      <x:c r="R54" s="299" t="str">
        <x:v>By 2026 this capability is commercially established or embedded in mainstream enterprise/consumer technology, even if the original Gartner label is no longer prominent.</x:v>
      </x:c>
      <x:c r="S54" s="299" t="str"/>
      <x:c r="T54" s="300" t="str">
        <x:f>IFERROR(INDEX($C54:$L54,1,MATCH($N54,$C$4:$L$4,0)),"")</x:f>
        <x:v>PE</x:v>
      </x:c>
      <x:c r="U54" s="300" t="n">
        <x:f>IFERROR(VLOOKUP(T54,'Adoption Methodology'!$F$18:$G$22,2,FALSE),"")</x:f>
        <x:v>2</x:v>
      </x:c>
      <x:c r="V54" s="299" t="str">
        <x:f>IFERROR(VLOOKUP(U54,'Adoption Methodology'!$A$5:$C$10,3,FALSE),"")</x:f>
        <x:v>≈5–15% of relevant market; credible deployments but limited scale</x:v>
      </x:c>
      <x:c r="W54" s="300" t="n">
        <x:f>IFERROR(VLOOKUP(Q54,'Adoption Methodology'!$F$5:$H$12,2,FALSE),"")</x:f>
        <x:v>5</x:v>
      </x:c>
      <x:c r="X54" s="299" t="str">
        <x:f>IFERROR(VLOOKUP(W54,'Adoption Methodology'!$A$5:$C$10,3,FALSE),"")</x:f>
        <x:v>&gt;60% in leading/addressable segments, or effectively a standard/default capability</x:v>
      </x:c>
      <x:c r="Y54" s="300" t="n">
        <x:f>IF(OR(U54="",W54=""),"",W54-U54)</x:f>
        <x:v>3</x:v>
      </x:c>
      <x:c r="Z54" s="299" t="str">
        <x:f>IF(Y54="","",IF(Y54&gt;0,"Adoption increased",IF(Y54=0,"Broadly unchanged","Adoption maturity lower")))</x:f>
        <x:v>Adoption increased</x:v>
      </x:c>
      <x:c r="AA54" s="300" t="str">
        <x:f>IFERROR(VLOOKUP(Q54,'Adoption Methodology'!$F$5:$H$12,3,FALSE),"Medium")</x:f>
        <x:v>High</x:v>
      </x:c>
      <x:c r="AB54" s="299" t="str">
        <x:f>IFERROR(VLOOKUP(A54,'Adoption Methodology'!$K$5:$L$14,2,FALSE),IFERROR(VLOOKUP(B54,'Adoption Methodology'!$N$5:$O$16,2,FALSE),"https://www.gartner.com/en/information-technology/technology-adoption-roadmaps"))</x:f>
        <x:v>https://www.cncf.io/reports/the-cncf-annual-cloud-native-survey/</x:v>
      </x:c>
      <x:c r="AC54" s="299" t="str">
        <x:f>IF(R54="","Modelled adoption maturity; see Adoption Methodology.",R54&amp;"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55">
      <x:c r="A55" s="299" t="str">
        <x:v>Cloud-Out to Edge</x:v>
      </x:c>
      <x:c r="B55" s="299" t="str">
        <x:v>Cloud / Software Engineering</x:v>
      </x:c>
      <x:c r="C55" s="300" t="str"/>
      <x:c r="D55" s="300" t="str"/>
      <x:c r="E55" s="300" t="str"/>
      <x:c r="F55" s="300" t="str"/>
      <x:c r="G55" s="300" t="str"/>
      <x:c r="H55" s="300" t="str"/>
      <x:c r="I55" s="300" t="str"/>
      <x:c r="J55" s="300" t="str">
        <x:v>PE</x:v>
      </x:c>
      <x:c r="K55" s="300" t="str"/>
      <x:c r="L55" s="300" t="str"/>
      <x:c r="M55" s="300" t="n">
        <x:f>COUNTIF(C55:L55,"IT")+COUNTIF(C55:L55,"PE")+COUNTIF(C55:L55,"TD")+COUNTIF(C55:L55,"SE")+COUNTIF(C55:L55,"PP")</x:f>
        <x:v>1</x:v>
      </x:c>
      <x:c r="N55" s="300" t="n">
        <x:f>IF(C55&lt;&gt;"",2016,IF(D55&lt;&gt;"",2017,IF(E55&lt;&gt;"",2018,IF(F55&lt;&gt;"",2019,IF(G55&lt;&gt;"",2020,IF(H55&lt;&gt;"",2021,IF(I55&lt;&gt;"",2022,IF(J55&lt;&gt;"",2023,IF(K55&lt;&gt;"",2024,IF(L55&lt;&gt;"",2025,""))))))))))</x:f>
        <x:v>2023</x:v>
      </x:c>
      <x:c r="O55" s="300" t="n">
        <x:f>IF(L55&lt;&gt;"",2025,IF(K55&lt;&gt;"",2024,IF(J55&lt;&gt;"",2023,IF(I55&lt;&gt;"",2022,IF(H55&lt;&gt;"",2021,IF(G55&lt;&gt;"",2020,IF(F55&lt;&gt;"",2019,IF(E55&lt;&gt;"",2018,IF(D55&lt;&gt;"",2017,IF(C55&lt;&gt;"",2016,""))))))))))</x:f>
        <x:v>2023</x:v>
      </x:c>
      <x:c r="P55" s="299" t="str">
        <x:v>Exited flagship; may continue on specialist Hype Cycles</x:v>
      </x:c>
      <x:c r="Q55" s="299" t="str">
        <x:v>Superseded / absorbed</x:v>
      </x:c>
      <x:c r="R55" s="299" t="str">
        <x:v>The concept largely survives inside broader platforms, successor terminology or more specific technology categories rather than as a standalone label.</x:v>
      </x:c>
      <x:c r="S55" s="299" t="str"/>
      <x:c r="T55" s="300" t="str">
        <x:f>IFERROR(INDEX($C55:$L55,1,MATCH($N55,$C$4:$L$4,0)),"")</x:f>
        <x:v>PE</x:v>
      </x:c>
      <x:c r="U55" s="300" t="n">
        <x:f>IFERROR(VLOOKUP(T55,'Adoption Methodology'!$F$18:$G$22,2,FALSE),"")</x:f>
        <x:v>2</x:v>
      </x:c>
      <x:c r="V55" s="299" t="str">
        <x:f>IFERROR(VLOOKUP(U55,'Adoption Methodology'!$A$5:$C$10,3,FALSE),"")</x:f>
        <x:v>≈5–15% of relevant market; credible deployments but limited scale</x:v>
      </x:c>
      <x:c r="W55" s="300" t="n">
        <x:f>IFERROR(VLOOKUP(Q55,'Adoption Methodology'!$F$5:$H$12,2,FALSE),"")</x:f>
        <x:v>3</x:v>
      </x:c>
      <x:c r="X55" s="299" t="str">
        <x:f>IFERROR(VLOOKUP(W55,'Adoption Methodology'!$A$5:$C$10,3,FALSE),"")</x:f>
        <x:v>≈15–35% of relevant market, or capability absorbed into successor platforms</x:v>
      </x:c>
      <x:c r="Y55" s="300" t="n">
        <x:f>IF(OR(U55="",W55=""),"",W55-U55)</x:f>
        <x:v>1</x:v>
      </x:c>
      <x:c r="Z55" s="299" t="str">
        <x:f>IF(Y55="","",IF(Y55&gt;0,"Adoption increased",IF(Y55=0,"Broadly unchanged","Adoption maturity lower")))</x:f>
        <x:v>Adoption increased</x:v>
      </x:c>
      <x:c r="AA55" s="300" t="str">
        <x:f>IFERROR(VLOOKUP(Q55,'Adoption Methodology'!$F$5:$H$12,3,FALSE),"Medium")</x:f>
        <x:v>Medium-Low</x:v>
      </x:c>
      <x:c r="AB55" s="299" t="str">
        <x:f>IFERROR(VLOOKUP(A55,'Adoption Methodology'!$K$5:$L$14,2,FALSE),IFERROR(VLOOKUP(B55,'Adoption Methodology'!$N$5:$O$16,2,FALSE),"https://www.gartner.com/en/information-technology/technology-adoption-roadmaps"))</x:f>
        <x:v>https://www.cncf.io/reports/the-cncf-annual-cloud-native-survey/</x:v>
      </x:c>
      <x:c r="AC55" s="299" t="str">
        <x:f>IF(R55="","Modelled adoption maturity; see Adoption Methodology.",R55&amp;"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56">
      <x:c r="A56" s="299" t="str">
        <x:v>Cognitive Computing</x:v>
      </x:c>
      <x:c r="B56" s="299" t="str">
        <x:v>AI / Data / Analytics</x:v>
      </x:c>
      <x:c r="C56" s="300" t="str"/>
      <x:c r="D56" s="300" t="str">
        <x:v>PE</x:v>
      </x:c>
      <x:c r="E56" s="300" t="str"/>
      <x:c r="F56" s="300" t="str"/>
      <x:c r="G56" s="300" t="str"/>
      <x:c r="H56" s="300" t="str"/>
      <x:c r="I56" s="300" t="str"/>
      <x:c r="J56" s="300" t="str"/>
      <x:c r="K56" s="300" t="str"/>
      <x:c r="L56" s="300" t="str"/>
      <x:c r="M56" s="300" t="n">
        <x:f>COUNTIF(C56:L56,"IT")+COUNTIF(C56:L56,"PE")+COUNTIF(C56:L56,"TD")+COUNTIF(C56:L56,"SE")+COUNTIF(C56:L56,"PP")</x:f>
        <x:v>1</x:v>
      </x:c>
      <x:c r="N56" s="300" t="n">
        <x:f>IF(C56&lt;&gt;"",2016,IF(D56&lt;&gt;"",2017,IF(E56&lt;&gt;"",2018,IF(F56&lt;&gt;"",2019,IF(G56&lt;&gt;"",2020,IF(H56&lt;&gt;"",2021,IF(I56&lt;&gt;"",2022,IF(J56&lt;&gt;"",2023,IF(K56&lt;&gt;"",2024,IF(L56&lt;&gt;"",2025,""))))))))))</x:f>
        <x:v>2017</x:v>
      </x:c>
      <x:c r="O56" s="300" t="n">
        <x:f>IF(L56&lt;&gt;"",2025,IF(K56&lt;&gt;"",2024,IF(J56&lt;&gt;"",2023,IF(I56&lt;&gt;"",2022,IF(H56&lt;&gt;"",2021,IF(G56&lt;&gt;"",2020,IF(F56&lt;&gt;"",2019,IF(E56&lt;&gt;"",2018,IF(D56&lt;&gt;"",2017,IF(C56&lt;&gt;"",2016,""))))))))))</x:f>
        <x:v>2017</x:v>
      </x:c>
      <x:c r="P56" s="299" t="str">
        <x:v>Exited flagship; may continue on specialist Hype Cycles</x:v>
      </x:c>
      <x:c r="Q56" s="299" t="str">
        <x:v>Superseded / absorbed</x:v>
      </x:c>
      <x:c r="R56" s="299" t="str">
        <x:v>The concept largely survives inside broader platforms, successor terminology or more specific technology categories rather than as a standalone label.</x:v>
      </x:c>
      <x:c r="S56" s="299" t="str"/>
      <x:c r="T56" s="300" t="str">
        <x:f>IFERROR(INDEX($C56:$L56,1,MATCH($N56,$C$4:$L$4,0)),"")</x:f>
        <x:v>PE</x:v>
      </x:c>
      <x:c r="U56" s="300" t="n">
        <x:f>IFERROR(VLOOKUP(T56,'Adoption Methodology'!$F$18:$G$22,2,FALSE),"")</x:f>
        <x:v>2</x:v>
      </x:c>
      <x:c r="V56" s="299" t="str">
        <x:f>IFERROR(VLOOKUP(U56,'Adoption Methodology'!$A$5:$C$10,3,FALSE),"")</x:f>
        <x:v>≈5–15% of relevant market; credible deployments but limited scale</x:v>
      </x:c>
      <x:c r="W56" s="300" t="n">
        <x:f>IFERROR(VLOOKUP(Q56,'Adoption Methodology'!$F$5:$H$12,2,FALSE),"")</x:f>
        <x:v>3</x:v>
      </x:c>
      <x:c r="X56" s="299" t="str">
        <x:f>IFERROR(VLOOKUP(W56,'Adoption Methodology'!$A$5:$C$10,3,FALSE),"")</x:f>
        <x:v>≈15–35% of relevant market, or capability absorbed into successor platforms</x:v>
      </x:c>
      <x:c r="Y56" s="300" t="n">
        <x:f>IF(OR(U56="",W56=""),"",W56-U56)</x:f>
        <x:v>1</x:v>
      </x:c>
      <x:c r="Z56" s="299" t="str">
        <x:f>IF(Y56="","",IF(Y56&gt;0,"Adoption increased",IF(Y56=0,"Broadly unchanged","Adoption maturity lower")))</x:f>
        <x:v>Adoption increased</x:v>
      </x:c>
      <x:c r="AA56" s="300" t="str">
        <x:f>IFERROR(VLOOKUP(Q56,'Adoption Methodology'!$F$5:$H$12,3,FALSE),"Medium")</x:f>
        <x:v>Medium-Low</x:v>
      </x:c>
      <x:c r="AB56" s="299" t="str">
        <x:f>IFERROR(VLOOKUP(A56,'Adoption Methodology'!$K$5:$L$14,2,FALSE),IFERROR(VLOOKUP(B56,'Adoption Methodology'!$N$5:$O$16,2,FALSE),"https://www.gartner.com/en/information-technology/technology-adoption-roadmaps"))</x:f>
        <x:v>https://www.mckinsey.com/capabilities/quantumblack/our-insights/the-state-of-ai</x:v>
      </x:c>
      <x:c r="AC56" s="299" t="str">
        <x:f>IF(R56="","Modelled adoption maturity; see Adoption Methodology.",R56&amp;"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57">
      <x:c r="A57" s="299" t="str">
        <x:v>Cognitive Expert Advisors</x:v>
      </x:c>
      <x:c r="B57" s="299" t="str">
        <x:v>AI / Data / Analytics</x:v>
      </x:c>
      <x:c r="C57" s="300" t="str">
        <x:v>IT</x:v>
      </x:c>
      <x:c r="D57" s="300" t="str">
        <x:v>TD</x:v>
      </x:c>
      <x:c r="E57" s="300" t="str"/>
      <x:c r="F57" s="300" t="str"/>
      <x:c r="G57" s="300" t="str"/>
      <x:c r="H57" s="300" t="str"/>
      <x:c r="I57" s="300" t="str"/>
      <x:c r="J57" s="300" t="str"/>
      <x:c r="K57" s="300" t="str"/>
      <x:c r="L57" s="300" t="str"/>
      <x:c r="M57" s="300" t="n">
        <x:f>COUNTIF(C57:L57,"IT")+COUNTIF(C57:L57,"PE")+COUNTIF(C57:L57,"TD")+COUNTIF(C57:L57,"SE")+COUNTIF(C57:L57,"PP")</x:f>
        <x:v>2</x:v>
      </x:c>
      <x:c r="N57" s="300" t="n">
        <x:f>IF(C57&lt;&gt;"",2016,IF(D57&lt;&gt;"",2017,IF(E57&lt;&gt;"",2018,IF(F57&lt;&gt;"",2019,IF(G57&lt;&gt;"",2020,IF(H57&lt;&gt;"",2021,IF(I57&lt;&gt;"",2022,IF(J57&lt;&gt;"",2023,IF(K57&lt;&gt;"",2024,IF(L57&lt;&gt;"",2025,""))))))))))</x:f>
        <x:v>2016</x:v>
      </x:c>
      <x:c r="O57" s="300" t="n">
        <x:f>IF(L57&lt;&gt;"",2025,IF(K57&lt;&gt;"",2024,IF(J57&lt;&gt;"",2023,IF(I57&lt;&gt;"",2022,IF(H57&lt;&gt;"",2021,IF(G57&lt;&gt;"",2020,IF(F57&lt;&gt;"",2019,IF(E57&lt;&gt;"",2018,IF(D57&lt;&gt;"",2017,IF(C57&lt;&gt;"",2016,""))))))))))</x:f>
        <x:v>2017</x:v>
      </x:c>
      <x:c r="P57" s="299" t="str">
        <x:v>Exited flagship; may continue on specialist Hype Cycles</x:v>
      </x:c>
      <x:c r="Q57" s="299" t="str">
        <x:v>Superseded / absorbed</x:v>
      </x:c>
      <x:c r="R57" s="299" t="str">
        <x:v>The concept largely survives inside broader platforms, successor terminology or more specific technology categories rather than as a standalone label.</x:v>
      </x:c>
      <x:c r="S57" s="299" t="str"/>
      <x:c r="T57" s="300" t="str">
        <x:f>IFERROR(INDEX($C57:$L57,1,MATCH($N57,$C$4:$L$4,0)),"")</x:f>
        <x:v>IT</x:v>
      </x:c>
      <x:c r="U57" s="300" t="n">
        <x:f>IFERROR(VLOOKUP(T57,'Adoption Methodology'!$F$18:$G$22,2,FALSE),"")</x:f>
        <x:v>1</x:v>
      </x:c>
      <x:c r="V57" s="299" t="str">
        <x:f>IFERROR(VLOOKUP(U57,'Adoption Methodology'!$A$5:$C$10,3,FALSE),"")</x:f>
        <x:v>≈1–5% of relevant market; prototypes, pilots or very early deployments</x:v>
      </x:c>
      <x:c r="W57" s="300" t="n">
        <x:f>IFERROR(VLOOKUP(Q57,'Adoption Methodology'!$F$5:$H$12,2,FALSE),"")</x:f>
        <x:v>3</x:v>
      </x:c>
      <x:c r="X57" s="299" t="str">
        <x:f>IFERROR(VLOOKUP(W57,'Adoption Methodology'!$A$5:$C$10,3,FALSE),"")</x:f>
        <x:v>≈15–35% of relevant market, or capability absorbed into successor platforms</x:v>
      </x:c>
      <x:c r="Y57" s="300" t="n">
        <x:f>IF(OR(U57="",W57=""),"",W57-U57)</x:f>
        <x:v>2</x:v>
      </x:c>
      <x:c r="Z57" s="299" t="str">
        <x:f>IF(Y57="","",IF(Y57&gt;0,"Adoption increased",IF(Y57=0,"Broadly unchanged","Adoption maturity lower")))</x:f>
        <x:v>Adoption increased</x:v>
      </x:c>
      <x:c r="AA57" s="300" t="str">
        <x:f>IFERROR(VLOOKUP(Q57,'Adoption Methodology'!$F$5:$H$12,3,FALSE),"Medium")</x:f>
        <x:v>Medium-Low</x:v>
      </x:c>
      <x:c r="AB57" s="299" t="str">
        <x:f>IFERROR(VLOOKUP(A57,'Adoption Methodology'!$K$5:$L$14,2,FALSE),IFERROR(VLOOKUP(B57,'Adoption Methodology'!$N$5:$O$16,2,FALSE),"https://www.gartner.com/en/information-technology/technology-adoption-roadmaps"))</x:f>
        <x:v>https://www.mckinsey.com/capabilities/quantumblack/our-insights/the-state-of-ai</x:v>
      </x:c>
      <x:c r="AC57" s="299" t="str">
        <x:f>IF(R57="","Modelled adoption maturity; see Adoption Methodology.",R57&amp;"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58">
      <x:c r="A58" s="299" t="str">
        <x:v>Cognitive Offloading</x:v>
      </x:c>
      <x:c r="B58" s="299" t="str">
        <x:v>Human Augmentation / Future of Work</x:v>
      </x:c>
      <x:c r="C58" s="300" t="str"/>
      <x:c r="D58" s="300" t="str"/>
      <x:c r="E58" s="300" t="str"/>
      <x:c r="F58" s="300" t="str"/>
      <x:c r="G58" s="300" t="str"/>
      <x:c r="H58" s="300" t="str"/>
      <x:c r="I58" s="300" t="str"/>
      <x:c r="J58" s="300" t="str"/>
      <x:c r="K58" s="300" t="str"/>
      <x:c r="L58" s="300" t="str">
        <x:v>IT</x:v>
      </x:c>
      <x:c r="M58" s="300" t="n">
        <x:f>COUNTIF(C58:L58,"IT")+COUNTIF(C58:L58,"PE")+COUNTIF(C58:L58,"TD")+COUNTIF(C58:L58,"SE")+COUNTIF(C58:L58,"PP")</x:f>
        <x:v>1</x:v>
      </x:c>
      <x:c r="N58" s="300" t="n">
        <x:f>IF(C58&lt;&gt;"",2016,IF(D58&lt;&gt;"",2017,IF(E58&lt;&gt;"",2018,IF(F58&lt;&gt;"",2019,IF(G58&lt;&gt;"",2020,IF(H58&lt;&gt;"",2021,IF(I58&lt;&gt;"",2022,IF(J58&lt;&gt;"",2023,IF(K58&lt;&gt;"",2024,IF(L58&lt;&gt;"",2025,""))))))))))</x:f>
        <x:v>2025</x:v>
      </x:c>
      <x:c r="O58" s="300" t="n">
        <x:f>IF(L58&lt;&gt;"",2025,IF(K58&lt;&gt;"",2024,IF(J58&lt;&gt;"",2023,IF(I58&lt;&gt;"",2022,IF(H58&lt;&gt;"",2021,IF(G58&lt;&gt;"",2020,IF(F58&lt;&gt;"",2019,IF(E58&lt;&gt;"",2018,IF(D58&lt;&gt;"",2017,IF(C58&lt;&gt;"",2016,""))))))))))</x:f>
        <x:v>2025</x:v>
      </x:c>
      <x:c r="P58" s="299" t="str">
        <x:v>Still on the 2025 flagship</x:v>
      </x:c>
      <x:c r="Q58" s="299" t="str">
        <x:v>Still emerging / evolving</x:v>
      </x:c>
      <x:c r="R58" s="299" t="str">
        <x:v>By 2026 the category is still evolving quickly; commercial adoption exists or is beginning, but maturity and durable ROI vary significantly.</x:v>
      </x:c>
      <x:c r="S58" s="299" t="str"/>
      <x:c r="T58" s="300" t="str">
        <x:f>IFERROR(INDEX($C58:$L58,1,MATCH($N58,$C$4:$L$4,0)),"")</x:f>
        <x:v>IT</x:v>
      </x:c>
      <x:c r="U58" s="300" t="n">
        <x:f>IFERROR(VLOOKUP(T58,'Adoption Methodology'!$F$18:$G$22,2,FALSE),"")</x:f>
        <x:v>1</x:v>
      </x:c>
      <x:c r="V58" s="299" t="str">
        <x:f>IFERROR(VLOOKUP(U58,'Adoption Methodology'!$A$5:$C$10,3,FALSE),"")</x:f>
        <x:v>≈1–5% of relevant market; prototypes, pilots or very early deployments</x:v>
      </x:c>
      <x:c r="W58" s="300" t="n">
        <x:f>IFERROR(VLOOKUP(Q58,'Adoption Methodology'!$F$5:$H$12,2,FALSE),"")</x:f>
        <x:v>2</x:v>
      </x:c>
      <x:c r="X58" s="299" t="str">
        <x:f>IFERROR(VLOOKUP(W58,'Adoption Methodology'!$A$5:$C$10,3,FALSE),"")</x:f>
        <x:v>≈5–15% of relevant market; credible deployments but limited scale</x:v>
      </x:c>
      <x:c r="Y58" s="300" t="n">
        <x:f>IF(OR(U58="",W58=""),"",W58-U58)</x:f>
        <x:v>1</x:v>
      </x:c>
      <x:c r="Z58" s="299" t="str">
        <x:f>IF(Y58="","",IF(Y58&gt;0,"Adoption increased",IF(Y58=0,"Broadly unchanged","Adoption maturity lower")))</x:f>
        <x:v>Adoption increased</x:v>
      </x:c>
      <x:c r="AA58" s="300" t="str">
        <x:f>IFERROR(VLOOKUP(Q58,'Adoption Methodology'!$F$5:$H$12,3,FALSE),"Medium")</x:f>
        <x:v>Medium</x:v>
      </x:c>
      <x:c r="AB58" s="299" t="str">
        <x:f>IFERROR(VLOOKUP(A58,'Adoption Methodology'!$K$5:$L$14,2,FALSE),IFERROR(VLOOKUP(B58,'Adoption Methodology'!$N$5:$O$16,2,FALSE),"https://www.gartner.com/en/information-technology/technology-adoption-roadmaps"))</x:f>
        <x:v>https://www.gartner.com/en/information-technology/technology-adoption-roadmaps</x:v>
      </x:c>
      <x:c r="AC58" s="299" t="str">
        <x:f>IF(R58="","Modelled adoption maturity; see Adoption Methodology.",R58&amp;"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59">
      <x:c r="A59" s="299" t="str">
        <x:v>Commercial UAVs (Drones)</x:v>
      </x:c>
      <x:c r="B59" s="299" t="str">
        <x:v>Autonomy / Robotics</x:v>
      </x:c>
      <x:c r="C59" s="300" t="str">
        <x:v>IT</x:v>
      </x:c>
      <x:c r="D59" s="300" t="str">
        <x:v>PE</x:v>
      </x:c>
      <x:c r="E59" s="300" t="str"/>
      <x:c r="F59" s="300" t="str"/>
      <x:c r="G59" s="300" t="str"/>
      <x:c r="H59" s="300" t="str"/>
      <x:c r="I59" s="300" t="str"/>
      <x:c r="J59" s="300" t="str"/>
      <x:c r="K59" s="300" t="str"/>
      <x:c r="L59" s="300" t="str"/>
      <x:c r="M59" s="300" t="n">
        <x:f>COUNTIF(C59:L59,"IT")+COUNTIF(C59:L59,"PE")+COUNTIF(C59:L59,"TD")+COUNTIF(C59:L59,"SE")+COUNTIF(C59:L59,"PP")</x:f>
        <x:v>2</x:v>
      </x:c>
      <x:c r="N59" s="300" t="n">
        <x:f>IF(C59&lt;&gt;"",2016,IF(D59&lt;&gt;"",2017,IF(E59&lt;&gt;"",2018,IF(F59&lt;&gt;"",2019,IF(G59&lt;&gt;"",2020,IF(H59&lt;&gt;"",2021,IF(I59&lt;&gt;"",2022,IF(J59&lt;&gt;"",2023,IF(K59&lt;&gt;"",2024,IF(L59&lt;&gt;"",2025,""))))))))))</x:f>
        <x:v>2016</x:v>
      </x:c>
      <x:c r="O59" s="300" t="n">
        <x:f>IF(L59&lt;&gt;"",2025,IF(K59&lt;&gt;"",2024,IF(J59&lt;&gt;"",2023,IF(I59&lt;&gt;"",2022,IF(H59&lt;&gt;"",2021,IF(G59&lt;&gt;"",2020,IF(F59&lt;&gt;"",2019,IF(E59&lt;&gt;"",2018,IF(D59&lt;&gt;"",2017,IF(C59&lt;&gt;"",2016,""))))))))))</x:f>
        <x:v>2017</x:v>
      </x:c>
      <x:c r="P59" s="299" t="str">
        <x:v>Exited flagship; may continue on specialist Hype Cycles</x:v>
      </x:c>
      <x:c r="Q59" s="299" t="str">
        <x:v>Established / mainstream</x:v>
      </x:c>
      <x:c r="R59" s="299" t="str">
        <x:v>By 2026 this capability is commercially established or embedded in mainstream enterprise/consumer technology, even if the original Gartner label is no longer prominent.</x:v>
      </x:c>
      <x:c r="S59" s="299" t="str"/>
      <x:c r="T59" s="300" t="str">
        <x:f>IFERROR(INDEX($C59:$L59,1,MATCH($N59,$C$4:$L$4,0)),"")</x:f>
        <x:v>IT</x:v>
      </x:c>
      <x:c r="U59" s="300" t="n">
        <x:f>IFERROR(VLOOKUP(T59,'Adoption Methodology'!$F$18:$G$22,2,FALSE),"")</x:f>
        <x:v>1</x:v>
      </x:c>
      <x:c r="V59" s="299" t="str">
        <x:f>IFERROR(VLOOKUP(U59,'Adoption Methodology'!$A$5:$C$10,3,FALSE),"")</x:f>
        <x:v>≈1–5% of relevant market; prototypes, pilots or very early deployments</x:v>
      </x:c>
      <x:c r="W59" s="300" t="n">
        <x:f>IFERROR(VLOOKUP(Q59,'Adoption Methodology'!$F$5:$H$12,2,FALSE),"")</x:f>
        <x:v>5</x:v>
      </x:c>
      <x:c r="X59" s="299" t="str">
        <x:f>IFERROR(VLOOKUP(W59,'Adoption Methodology'!$A$5:$C$10,3,FALSE),"")</x:f>
        <x:v>&gt;60% in leading/addressable segments, or effectively a standard/default capability</x:v>
      </x:c>
      <x:c r="Y59" s="300" t="n">
        <x:f>IF(OR(U59="",W59=""),"",W59-U59)</x:f>
        <x:v>4</x:v>
      </x:c>
      <x:c r="Z59" s="299" t="str">
        <x:f>IF(Y59="","",IF(Y59&gt;0,"Adoption increased",IF(Y59=0,"Broadly unchanged","Adoption maturity lower")))</x:f>
        <x:v>Adoption increased</x:v>
      </x:c>
      <x:c r="AA59" s="300" t="str">
        <x:f>IFERROR(VLOOKUP(Q59,'Adoption Methodology'!$F$5:$H$12,3,FALSE),"Medium")</x:f>
        <x:v>High</x:v>
      </x:c>
      <x:c r="AB59" s="299" t="str">
        <x:f>IFERROR(VLOOKUP(A59,'Adoption Methodology'!$K$5:$L$14,2,FALSE),IFERROR(VLOOKUP(B59,'Adoption Methodology'!$N$5:$O$16,2,FALSE),"https://www.gartner.com/en/information-technology/technology-adoption-roadmaps"))</x:f>
        <x:v>https://www.faa.gov/data_research/aviation/aerospace_forecasts/unmanned_aircraft_systems.pdf</x:v>
      </x:c>
      <x:c r="AC59" s="299" t="str">
        <x:f>IF(R59="","Modelled adoption maturity; see Adoption Methodology.",R59&amp;"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60">
      <x:c r="A60" s="299" t="str">
        <x:v>Composable Applications</x:v>
      </x:c>
      <x:c r="B60" s="299" t="str">
        <x:v>Cloud / Software Engineering</x:v>
      </x:c>
      <x:c r="C60" s="300" t="str"/>
      <x:c r="D60" s="300" t="str"/>
      <x:c r="E60" s="300" t="str"/>
      <x:c r="F60" s="300" t="str"/>
      <x:c r="G60" s="300" t="str"/>
      <x:c r="H60" s="300" t="str">
        <x:v>PE</x:v>
      </x:c>
      <x:c r="I60" s="300" t="str"/>
      <x:c r="J60" s="300" t="str"/>
      <x:c r="K60" s="300" t="str"/>
      <x:c r="L60" s="300" t="str"/>
      <x:c r="M60" s="300" t="n">
        <x:f>COUNTIF(C60:L60,"IT")+COUNTIF(C60:L60,"PE")+COUNTIF(C60:L60,"TD")+COUNTIF(C60:L60,"SE")+COUNTIF(C60:L60,"PP")</x:f>
        <x:v>1</x:v>
      </x:c>
      <x:c r="N60" s="300" t="n">
        <x:f>IF(C60&lt;&gt;"",2016,IF(D60&lt;&gt;"",2017,IF(E60&lt;&gt;"",2018,IF(F60&lt;&gt;"",2019,IF(G60&lt;&gt;"",2020,IF(H60&lt;&gt;"",2021,IF(I60&lt;&gt;"",2022,IF(J60&lt;&gt;"",2023,IF(K60&lt;&gt;"",2024,IF(L60&lt;&gt;"",2025,""))))))))))</x:f>
        <x:v>2021</x:v>
      </x:c>
      <x:c r="O60" s="300" t="n">
        <x:f>IF(L60&lt;&gt;"",2025,IF(K60&lt;&gt;"",2024,IF(J60&lt;&gt;"",2023,IF(I60&lt;&gt;"",2022,IF(H60&lt;&gt;"",2021,IF(G60&lt;&gt;"",2020,IF(F60&lt;&gt;"",2019,IF(E60&lt;&gt;"",2018,IF(D60&lt;&gt;"",2017,IF(C60&lt;&gt;"",2016,""))))))))))</x:f>
        <x:v>2021</x:v>
      </x:c>
      <x:c r="P60" s="299" t="str">
        <x:v>Exited flagship; may continue on specialist Hype Cycles</x:v>
      </x:c>
      <x:c r="Q60" s="299" t="str">
        <x:v>Established / specialist</x:v>
      </x:c>
      <x:c r="R60" s="299" t="str">
        <x:v>By 2026 there are credible production uses and vendors, but adoption is concentrated in particular workloads, industries or architectures rather than universal.</x:v>
      </x:c>
      <x:c r="S60" s="299" t="str"/>
      <x:c r="T60" s="300" t="str">
        <x:f>IFERROR(INDEX($C60:$L60,1,MATCH($N60,$C$4:$L$4,0)),"")</x:f>
        <x:v>PE</x:v>
      </x:c>
      <x:c r="U60" s="300" t="n">
        <x:f>IFERROR(VLOOKUP(T60,'Adoption Methodology'!$F$18:$G$22,2,FALSE),"")</x:f>
        <x:v>2</x:v>
      </x:c>
      <x:c r="V60" s="299" t="str">
        <x:f>IFERROR(VLOOKUP(U60,'Adoption Methodology'!$A$5:$C$10,3,FALSE),"")</x:f>
        <x:v>≈5–15% of relevant market; credible deployments but limited scale</x:v>
      </x:c>
      <x:c r="W60" s="300" t="n">
        <x:f>IFERROR(VLOOKUP(Q60,'Adoption Methodology'!$F$5:$H$12,2,FALSE),"")</x:f>
        <x:v>4</x:v>
      </x:c>
      <x:c r="X60" s="299" t="str">
        <x:f>IFERROR(VLOOKUP(W60,'Adoption Methodology'!$A$5:$C$10,3,FALSE),"")</x:f>
        <x:v>≈35–60% within the addressable segment; mature specialist use</x:v>
      </x:c>
      <x:c r="Y60" s="300" t="n">
        <x:f>IF(OR(U60="",W60=""),"",W60-U60)</x:f>
        <x:v>2</x:v>
      </x:c>
      <x:c r="Z60" s="299" t="str">
        <x:f>IF(Y60="","",IF(Y60&gt;0,"Adoption increased",IF(Y60=0,"Broadly unchanged","Adoption maturity lower")))</x:f>
        <x:v>Adoption increased</x:v>
      </x:c>
      <x:c r="AA60" s="300" t="str">
        <x:f>IFERROR(VLOOKUP(Q60,'Adoption Methodology'!$F$5:$H$12,3,FALSE),"Medium")</x:f>
        <x:v>High</x:v>
      </x:c>
      <x:c r="AB60" s="299" t="str">
        <x:f>IFERROR(VLOOKUP(A60,'Adoption Methodology'!$K$5:$L$14,2,FALSE),IFERROR(VLOOKUP(B60,'Adoption Methodology'!$N$5:$O$16,2,FALSE),"https://www.gartner.com/en/information-technology/technology-adoption-roadmaps"))</x:f>
        <x:v>https://www.cncf.io/reports/the-cncf-annual-cloud-native-survey/</x:v>
      </x:c>
      <x:c r="AC60" s="299" t="str">
        <x:f>IF(R60="","Modelled adoption maturity; see Adoption Methodology.",R60&amp;"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61">
      <x:c r="A61" s="299" t="str">
        <x:v>Composable Enterprise</x:v>
      </x:c>
      <x:c r="B61" s="299" t="str">
        <x:v>Cloud / Software Engineering</x:v>
      </x:c>
      <x:c r="C61" s="300" t="str"/>
      <x:c r="D61" s="300" t="str"/>
      <x:c r="E61" s="300" t="str"/>
      <x:c r="F61" s="300" t="str"/>
      <x:c r="G61" s="300" t="str">
        <x:v>IT</x:v>
      </x:c>
      <x:c r="H61" s="300" t="str"/>
      <x:c r="I61" s="300" t="str"/>
      <x:c r="J61" s="300" t="str"/>
      <x:c r="K61" s="300" t="str"/>
      <x:c r="L61" s="300" t="str"/>
      <x:c r="M61" s="300" t="n">
        <x:f>COUNTIF(C61:L61,"IT")+COUNTIF(C61:L61,"PE")+COUNTIF(C61:L61,"TD")+COUNTIF(C61:L61,"SE")+COUNTIF(C61:L61,"PP")</x:f>
        <x:v>1</x:v>
      </x:c>
      <x:c r="N61" s="300" t="n">
        <x:f>IF(C61&lt;&gt;"",2016,IF(D61&lt;&gt;"",2017,IF(E61&lt;&gt;"",2018,IF(F61&lt;&gt;"",2019,IF(G61&lt;&gt;"",2020,IF(H61&lt;&gt;"",2021,IF(I61&lt;&gt;"",2022,IF(J61&lt;&gt;"",2023,IF(K61&lt;&gt;"",2024,IF(L61&lt;&gt;"",2025,""))))))))))</x:f>
        <x:v>2020</x:v>
      </x:c>
      <x:c r="O61" s="300" t="n">
        <x:f>IF(L61&lt;&gt;"",2025,IF(K61&lt;&gt;"",2024,IF(J61&lt;&gt;"",2023,IF(I61&lt;&gt;"",2022,IF(H61&lt;&gt;"",2021,IF(G61&lt;&gt;"",2020,IF(F61&lt;&gt;"",2019,IF(E61&lt;&gt;"",2018,IF(D61&lt;&gt;"",2017,IF(C61&lt;&gt;"",2016,""))))))))))</x:f>
        <x:v>2020</x:v>
      </x:c>
      <x:c r="P61" s="299" t="str">
        <x:v>Exited flagship; may continue on specialist Hype Cycles</x:v>
      </x:c>
      <x:c r="Q61" s="299" t="str">
        <x:v>Established / specialist</x:v>
      </x:c>
      <x:c r="R61" s="299" t="str">
        <x:v>By 2026 there are credible production uses and vendors, but adoption is concentrated in particular workloads, industries or architectures rather than universal.</x:v>
      </x:c>
      <x:c r="S61" s="299" t="str"/>
      <x:c r="T61" s="300" t="str">
        <x:f>IFERROR(INDEX($C61:$L61,1,MATCH($N61,$C$4:$L$4,0)),"")</x:f>
        <x:v>IT</x:v>
      </x:c>
      <x:c r="U61" s="300" t="n">
        <x:f>IFERROR(VLOOKUP(T61,'Adoption Methodology'!$F$18:$G$22,2,FALSE),"")</x:f>
        <x:v>1</x:v>
      </x:c>
      <x:c r="V61" s="299" t="str">
        <x:f>IFERROR(VLOOKUP(U61,'Adoption Methodology'!$A$5:$C$10,3,FALSE),"")</x:f>
        <x:v>≈1–5% of relevant market; prototypes, pilots or very early deployments</x:v>
      </x:c>
      <x:c r="W61" s="300" t="n">
        <x:f>IFERROR(VLOOKUP(Q61,'Adoption Methodology'!$F$5:$H$12,2,FALSE),"")</x:f>
        <x:v>4</x:v>
      </x:c>
      <x:c r="X61" s="299" t="str">
        <x:f>IFERROR(VLOOKUP(W61,'Adoption Methodology'!$A$5:$C$10,3,FALSE),"")</x:f>
        <x:v>≈35–60% within the addressable segment; mature specialist use</x:v>
      </x:c>
      <x:c r="Y61" s="300" t="n">
        <x:f>IF(OR(U61="",W61=""),"",W61-U61)</x:f>
        <x:v>3</x:v>
      </x:c>
      <x:c r="Z61" s="299" t="str">
        <x:f>IF(Y61="","",IF(Y61&gt;0,"Adoption increased",IF(Y61=0,"Broadly unchanged","Adoption maturity lower")))</x:f>
        <x:v>Adoption increased</x:v>
      </x:c>
      <x:c r="AA61" s="300" t="str">
        <x:f>IFERROR(VLOOKUP(Q61,'Adoption Methodology'!$F$5:$H$12,3,FALSE),"Medium")</x:f>
        <x:v>High</x:v>
      </x:c>
      <x:c r="AB61" s="299" t="str">
        <x:f>IFERROR(VLOOKUP(A61,'Adoption Methodology'!$K$5:$L$14,2,FALSE),IFERROR(VLOOKUP(B61,'Adoption Methodology'!$N$5:$O$16,2,FALSE),"https://www.gartner.com/en/information-technology/technology-adoption-roadmaps"))</x:f>
        <x:v>https://www.cncf.io/reports/the-cncf-annual-cloud-native-survey/</x:v>
      </x:c>
      <x:c r="AC61" s="299" t="str">
        <x:f>IF(R61="","Modelled adoption maturity; see Adoption Methodology.",R61&amp;"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62">
      <x:c r="A62" s="299" t="str">
        <x:v>Composable Networks</x:v>
      </x:c>
      <x:c r="B62" s="299" t="str">
        <x:v>Cloud / Software Engineering</x:v>
      </x:c>
      <x:c r="C62" s="300" t="str"/>
      <x:c r="D62" s="300" t="str"/>
      <x:c r="E62" s="300" t="str"/>
      <x:c r="F62" s="300" t="str"/>
      <x:c r="G62" s="300" t="str"/>
      <x:c r="H62" s="300" t="str">
        <x:v>IT</x:v>
      </x:c>
      <x:c r="I62" s="300" t="str"/>
      <x:c r="J62" s="300" t="str"/>
      <x:c r="K62" s="300" t="str"/>
      <x:c r="L62" s="300" t="str"/>
      <x:c r="M62" s="300" t="n">
        <x:f>COUNTIF(C62:L62,"IT")+COUNTIF(C62:L62,"PE")+COUNTIF(C62:L62,"TD")+COUNTIF(C62:L62,"SE")+COUNTIF(C62:L62,"PP")</x:f>
        <x:v>1</x:v>
      </x:c>
      <x:c r="N62" s="300" t="n">
        <x:f>IF(C62&lt;&gt;"",2016,IF(D62&lt;&gt;"",2017,IF(E62&lt;&gt;"",2018,IF(F62&lt;&gt;"",2019,IF(G62&lt;&gt;"",2020,IF(H62&lt;&gt;"",2021,IF(I62&lt;&gt;"",2022,IF(J62&lt;&gt;"",2023,IF(K62&lt;&gt;"",2024,IF(L62&lt;&gt;"",2025,""))))))))))</x:f>
        <x:v>2021</x:v>
      </x:c>
      <x:c r="O62" s="300" t="n">
        <x:f>IF(L62&lt;&gt;"",2025,IF(K62&lt;&gt;"",2024,IF(J62&lt;&gt;"",2023,IF(I62&lt;&gt;"",2022,IF(H62&lt;&gt;"",2021,IF(G62&lt;&gt;"",2020,IF(F62&lt;&gt;"",2019,IF(E62&lt;&gt;"",2018,IF(D62&lt;&gt;"",2017,IF(C62&lt;&gt;"",2016,""))))))))))</x:f>
        <x:v>2021</x:v>
      </x:c>
      <x:c r="P62" s="299" t="str">
        <x:v>Exited flagship; may continue on specialist Hype Cycles</x:v>
      </x:c>
      <x:c r="Q62" s="299" t="str">
        <x:v>Exited flagship / evolving</x:v>
      </x:c>
      <x:c r="R62" s="299" t="str">
        <x:v>The label left the flagship cycle; Gartner’s flagship is deliberately dynamic, so exit should not be read as failure without checking specialist Hype Cycles.</x:v>
      </x:c>
      <x:c r="S62" s="299" t="str"/>
      <x:c r="T62" s="300" t="str">
        <x:f>IFERROR(INDEX($C62:$L62,1,MATCH($N62,$C$4:$L$4,0)),"")</x:f>
        <x:v>IT</x:v>
      </x:c>
      <x:c r="U62" s="300" t="n">
        <x:f>IFERROR(VLOOKUP(T62,'Adoption Methodology'!$F$18:$G$22,2,FALSE),"")</x:f>
        <x:v>1</x:v>
      </x:c>
      <x:c r="V62" s="299" t="str">
        <x:f>IFERROR(VLOOKUP(U62,'Adoption Methodology'!$A$5:$C$10,3,FALSE),"")</x:f>
        <x:v>≈1–5% of relevant market; prototypes, pilots or very early deployments</x:v>
      </x:c>
      <x:c r="W62" s="300" t="n">
        <x:f>IFERROR(VLOOKUP(Q62,'Adoption Methodology'!$F$5:$H$12,2,FALSE),"")</x:f>
        <x:v>2</x:v>
      </x:c>
      <x:c r="X62" s="299" t="str">
        <x:f>IFERROR(VLOOKUP(W62,'Adoption Methodology'!$A$5:$C$10,3,FALSE),"")</x:f>
        <x:v>≈5–15% of relevant market; credible deployments but limited scale</x:v>
      </x:c>
      <x:c r="Y62" s="300" t="n">
        <x:f>IF(OR(U62="",W62=""),"",W62-U62)</x:f>
        <x:v>1</x:v>
      </x:c>
      <x:c r="Z62" s="299" t="str">
        <x:f>IF(Y62="","",IF(Y62&gt;0,"Adoption increased",IF(Y62=0,"Broadly unchanged","Adoption maturity lower")))</x:f>
        <x:v>Adoption increased</x:v>
      </x:c>
      <x:c r="AA62" s="300" t="str">
        <x:f>IFERROR(VLOOKUP(Q62,'Adoption Methodology'!$F$5:$H$12,3,FALSE),"Medium")</x:f>
        <x:v>Medium-Low</x:v>
      </x:c>
      <x:c r="AB62" s="299" t="str">
        <x:f>IFERROR(VLOOKUP(A62,'Adoption Methodology'!$K$5:$L$14,2,FALSE),IFERROR(VLOOKUP(B62,'Adoption Methodology'!$N$5:$O$16,2,FALSE),"https://www.gartner.com/en/information-technology/technology-adoption-roadmaps"))</x:f>
        <x:v>https://www.cncf.io/reports/the-cncf-annual-cloud-native-survey/</x:v>
      </x:c>
      <x:c r="AC62" s="299" t="str">
        <x:f>IF(R62="","Modelled adoption maturity; see Adoption Methodology.",R62&amp;"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63">
      <x:c r="A63" s="299" t="str">
        <x:v>Composite AI</x:v>
      </x:c>
      <x:c r="B63" s="299" t="str">
        <x:v>AI / Data / Analytics</x:v>
      </x:c>
      <x:c r="C63" s="300" t="str"/>
      <x:c r="D63" s="300" t="str"/>
      <x:c r="E63" s="300" t="str"/>
      <x:c r="F63" s="300" t="str"/>
      <x:c r="G63" s="300" t="str">
        <x:v>IT</x:v>
      </x:c>
      <x:c r="H63" s="300" t="str"/>
      <x:c r="I63" s="300" t="str"/>
      <x:c r="J63" s="300" t="str"/>
      <x:c r="K63" s="300" t="str"/>
      <x:c r="L63" s="300" t="str"/>
      <x:c r="M63" s="300" t="n">
        <x:f>COUNTIF(C63:L63,"IT")+COUNTIF(C63:L63,"PE")+COUNTIF(C63:L63,"TD")+COUNTIF(C63:L63,"SE")+COUNTIF(C63:L63,"PP")</x:f>
        <x:v>1</x:v>
      </x:c>
      <x:c r="N63" s="300" t="n">
        <x:f>IF(C63&lt;&gt;"",2016,IF(D63&lt;&gt;"",2017,IF(E63&lt;&gt;"",2018,IF(F63&lt;&gt;"",2019,IF(G63&lt;&gt;"",2020,IF(H63&lt;&gt;"",2021,IF(I63&lt;&gt;"",2022,IF(J63&lt;&gt;"",2023,IF(K63&lt;&gt;"",2024,IF(L63&lt;&gt;"",2025,""))))))))))</x:f>
        <x:v>2020</x:v>
      </x:c>
      <x:c r="O63" s="300" t="n">
        <x:f>IF(L63&lt;&gt;"",2025,IF(K63&lt;&gt;"",2024,IF(J63&lt;&gt;"",2023,IF(I63&lt;&gt;"",2022,IF(H63&lt;&gt;"",2021,IF(G63&lt;&gt;"",2020,IF(F63&lt;&gt;"",2019,IF(E63&lt;&gt;"",2018,IF(D63&lt;&gt;"",2017,IF(C63&lt;&gt;"",2016,""))))))))))</x:f>
        <x:v>2020</x:v>
      </x:c>
      <x:c r="P63" s="299" t="str">
        <x:v>Exited flagship; may continue on specialist Hype Cycles</x:v>
      </x:c>
      <x:c r="Q63" s="299" t="str">
        <x:v>Superseded / absorbed</x:v>
      </x:c>
      <x:c r="R63" s="299" t="str">
        <x:v>The concept largely survives inside broader platforms, successor terminology or more specific technology categories rather than as a standalone label.</x:v>
      </x:c>
      <x:c r="S63" s="299" t="str"/>
      <x:c r="T63" s="300" t="str">
        <x:f>IFERROR(INDEX($C63:$L63,1,MATCH($N63,$C$4:$L$4,0)),"")</x:f>
        <x:v>IT</x:v>
      </x:c>
      <x:c r="U63" s="300" t="n">
        <x:f>IFERROR(VLOOKUP(T63,'Adoption Methodology'!$F$18:$G$22,2,FALSE),"")</x:f>
        <x:v>1</x:v>
      </x:c>
      <x:c r="V63" s="299" t="str">
        <x:f>IFERROR(VLOOKUP(U63,'Adoption Methodology'!$A$5:$C$10,3,FALSE),"")</x:f>
        <x:v>≈1–5% of relevant market; prototypes, pilots or very early deployments</x:v>
      </x:c>
      <x:c r="W63" s="300" t="n">
        <x:f>IFERROR(VLOOKUP(Q63,'Adoption Methodology'!$F$5:$H$12,2,FALSE),"")</x:f>
        <x:v>3</x:v>
      </x:c>
      <x:c r="X63" s="299" t="str">
        <x:f>IFERROR(VLOOKUP(W63,'Adoption Methodology'!$A$5:$C$10,3,FALSE),"")</x:f>
        <x:v>≈15–35% of relevant market, or capability absorbed into successor platforms</x:v>
      </x:c>
      <x:c r="Y63" s="300" t="n">
        <x:f>IF(OR(U63="",W63=""),"",W63-U63)</x:f>
        <x:v>2</x:v>
      </x:c>
      <x:c r="Z63" s="299" t="str">
        <x:f>IF(Y63="","",IF(Y63&gt;0,"Adoption increased",IF(Y63=0,"Broadly unchanged","Adoption maturity lower")))</x:f>
        <x:v>Adoption increased</x:v>
      </x:c>
      <x:c r="AA63" s="300" t="str">
        <x:f>IFERROR(VLOOKUP(Q63,'Adoption Methodology'!$F$5:$H$12,3,FALSE),"Medium")</x:f>
        <x:v>Medium-Low</x:v>
      </x:c>
      <x:c r="AB63" s="299" t="str">
        <x:f>IFERROR(VLOOKUP(A63,'Adoption Methodology'!$K$5:$L$14,2,FALSE),IFERROR(VLOOKUP(B63,'Adoption Methodology'!$N$5:$O$16,2,FALSE),"https://www.gartner.com/en/information-technology/technology-adoption-roadmaps"))</x:f>
        <x:v>https://www.mckinsey.com/capabilities/quantumblack/our-insights/the-state-of-ai</x:v>
      </x:c>
      <x:c r="AC63" s="299" t="str">
        <x:f>IF(R63="","Modelled adoption maturity; see Adoption Methodology.",R63&amp;"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64">
      <x:c r="A64" s="299" t="str">
        <x:v>Computational Storage</x:v>
      </x:c>
      <x:c r="B64" s="299" t="str">
        <x:v>Advanced Computing</x:v>
      </x:c>
      <x:c r="C64" s="300" t="str"/>
      <x:c r="D64" s="300" t="str"/>
      <x:c r="E64" s="300" t="str"/>
      <x:c r="F64" s="300" t="str"/>
      <x:c r="G64" s="300" t="str"/>
      <x:c r="H64" s="300" t="str"/>
      <x:c r="I64" s="300" t="str">
        <x:v>PE</x:v>
      </x:c>
      <x:c r="J64" s="300" t="str"/>
      <x:c r="K64" s="300" t="str"/>
      <x:c r="L64" s="300" t="str"/>
      <x:c r="M64" s="300" t="n">
        <x:f>COUNTIF(C64:L64,"IT")+COUNTIF(C64:L64,"PE")+COUNTIF(C64:L64,"TD")+COUNTIF(C64:L64,"SE")+COUNTIF(C64:L64,"PP")</x:f>
        <x:v>1</x:v>
      </x:c>
      <x:c r="N64" s="300" t="n">
        <x:f>IF(C64&lt;&gt;"",2016,IF(D64&lt;&gt;"",2017,IF(E64&lt;&gt;"",2018,IF(F64&lt;&gt;"",2019,IF(G64&lt;&gt;"",2020,IF(H64&lt;&gt;"",2021,IF(I64&lt;&gt;"",2022,IF(J64&lt;&gt;"",2023,IF(K64&lt;&gt;"",2024,IF(L64&lt;&gt;"",2025,""))))))))))</x:f>
        <x:v>2022</x:v>
      </x:c>
      <x:c r="O64" s="300" t="n">
        <x:f>IF(L64&lt;&gt;"",2025,IF(K64&lt;&gt;"",2024,IF(J64&lt;&gt;"",2023,IF(I64&lt;&gt;"",2022,IF(H64&lt;&gt;"",2021,IF(G64&lt;&gt;"",2020,IF(F64&lt;&gt;"",2019,IF(E64&lt;&gt;"",2018,IF(D64&lt;&gt;"",2017,IF(C64&lt;&gt;"",2016,""))))))))))</x:f>
        <x:v>2022</x:v>
      </x:c>
      <x:c r="P64" s="299" t="str">
        <x:v>Exited flagship; may continue on specialist Hype Cycles</x:v>
      </x:c>
      <x:c r="Q64" s="299" t="str">
        <x:v>Established / specialist</x:v>
      </x:c>
      <x:c r="R64" s="299" t="str">
        <x:v>By 2026 there are credible production uses and vendors, but adoption is concentrated in particular workloads, industries or architectures rather than universal.</x:v>
      </x:c>
      <x:c r="S64" s="299" t="str"/>
      <x:c r="T64" s="300" t="str">
        <x:f>IFERROR(INDEX($C64:$L64,1,MATCH($N64,$C$4:$L$4,0)),"")</x:f>
        <x:v>PE</x:v>
      </x:c>
      <x:c r="U64" s="300" t="n">
        <x:f>IFERROR(VLOOKUP(T64,'Adoption Methodology'!$F$18:$G$22,2,FALSE),"")</x:f>
        <x:v>2</x:v>
      </x:c>
      <x:c r="V64" s="299" t="str">
        <x:f>IFERROR(VLOOKUP(U64,'Adoption Methodology'!$A$5:$C$10,3,FALSE),"")</x:f>
        <x:v>≈5–15% of relevant market; credible deployments but limited scale</x:v>
      </x:c>
      <x:c r="W64" s="300" t="n">
        <x:f>IFERROR(VLOOKUP(Q64,'Adoption Methodology'!$F$5:$H$12,2,FALSE),"")</x:f>
        <x:v>4</x:v>
      </x:c>
      <x:c r="X64" s="299" t="str">
        <x:f>IFERROR(VLOOKUP(W64,'Adoption Methodology'!$A$5:$C$10,3,FALSE),"")</x:f>
        <x:v>≈35–60% within the addressable segment; mature specialist use</x:v>
      </x:c>
      <x:c r="Y64" s="300" t="n">
        <x:f>IF(OR(U64="",W64=""),"",W64-U64)</x:f>
        <x:v>2</x:v>
      </x:c>
      <x:c r="Z64" s="299" t="str">
        <x:f>IF(Y64="","",IF(Y64&gt;0,"Adoption increased",IF(Y64=0,"Broadly unchanged","Adoption maturity lower")))</x:f>
        <x:v>Adoption increased</x:v>
      </x:c>
      <x:c r="AA64" s="300" t="str">
        <x:f>IFERROR(VLOOKUP(Q64,'Adoption Methodology'!$F$5:$H$12,3,FALSE),"Medium")</x:f>
        <x:v>High</x:v>
      </x:c>
      <x:c r="AB64" s="299" t="str">
        <x:f>IFERROR(VLOOKUP(A64,'Adoption Methodology'!$K$5:$L$14,2,FALSE),IFERROR(VLOOKUP(B64,'Adoption Methodology'!$N$5:$O$16,2,FALSE),"https://www.gartner.com/en/information-technology/technology-adoption-roadmaps"))</x:f>
        <x:v>https://www.mckinsey.com/capabilities/tech-and-ai/our-insights/the-year-of-quantum-from-concept-to-reality-in-2025</x:v>
      </x:c>
      <x:c r="AC64" s="299" t="str">
        <x:f>IF(R64="","Modelled adoption maturity; see Adoption Methodology.",R64&amp;"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65">
      <x:c r="A65" s="299" t="str">
        <x:v>Confidential Computing</x:v>
      </x:c>
      <x:c r="B65" s="299" t="str">
        <x:v>Business / Emerging Technology</x:v>
      </x:c>
      <x:c r="C65" s="300" t="str"/>
      <x:c r="D65" s="300" t="str"/>
      <x:c r="E65" s="300" t="str"/>
      <x:c r="F65" s="300" t="str"/>
      <x:c r="G65" s="300" t="str"/>
      <x:c r="H65" s="300" t="str"/>
      <x:c r="I65" s="300" t="str"/>
      <x:c r="J65" s="300" t="str"/>
      <x:c r="K65" s="300" t="str"/>
      <x:c r="L65" s="300" t="str">
        <x:v>PE</x:v>
      </x:c>
      <x:c r="M65" s="300" t="n">
        <x:f>COUNTIF(C65:L65,"IT")+COUNTIF(C65:L65,"PE")+COUNTIF(C65:L65,"TD")+COUNTIF(C65:L65,"SE")+COUNTIF(C65:L65,"PP")</x:f>
        <x:v>1</x:v>
      </x:c>
      <x:c r="N65" s="300" t="n">
        <x:f>IF(C65&lt;&gt;"",2016,IF(D65&lt;&gt;"",2017,IF(E65&lt;&gt;"",2018,IF(F65&lt;&gt;"",2019,IF(G65&lt;&gt;"",2020,IF(H65&lt;&gt;"",2021,IF(I65&lt;&gt;"",2022,IF(J65&lt;&gt;"",2023,IF(K65&lt;&gt;"",2024,IF(L65&lt;&gt;"",2025,""))))))))))</x:f>
        <x:v>2025</x:v>
      </x:c>
      <x:c r="O65" s="300" t="n">
        <x:f>IF(L65&lt;&gt;"",2025,IF(K65&lt;&gt;"",2024,IF(J65&lt;&gt;"",2023,IF(I65&lt;&gt;"",2022,IF(H65&lt;&gt;"",2021,IF(G65&lt;&gt;"",2020,IF(F65&lt;&gt;"",2019,IF(E65&lt;&gt;"",2018,IF(D65&lt;&gt;"",2017,IF(C65&lt;&gt;"",2016,""))))))))))</x:f>
        <x:v>2025</x:v>
      </x:c>
      <x:c r="P65" s="299" t="str">
        <x:v>Still on the 2025 flagship</x:v>
      </x:c>
      <x:c r="Q65" s="299" t="str">
        <x:v>Established / specialist</x:v>
      </x:c>
      <x:c r="R65" s="299" t="str">
        <x:v>By 2026 there are credible production uses and vendors, but adoption is concentrated in particular workloads, industries or architectures rather than universal.</x:v>
      </x:c>
      <x:c r="S65" s="299" t="str"/>
      <x:c r="T65" s="300" t="str">
        <x:f>IFERROR(INDEX($C65:$L65,1,MATCH($N65,$C$4:$L$4,0)),"")</x:f>
        <x:v>PE</x:v>
      </x:c>
      <x:c r="U65" s="300" t="n">
        <x:f>IFERROR(VLOOKUP(T65,'Adoption Methodology'!$F$18:$G$22,2,FALSE),"")</x:f>
        <x:v>2</x:v>
      </x:c>
      <x:c r="V65" s="299" t="str">
        <x:f>IFERROR(VLOOKUP(U65,'Adoption Methodology'!$A$5:$C$10,3,FALSE),"")</x:f>
        <x:v>≈5–15% of relevant market; credible deployments but limited scale</x:v>
      </x:c>
      <x:c r="W65" s="300" t="n">
        <x:f>IFERROR(VLOOKUP(Q65,'Adoption Methodology'!$F$5:$H$12,2,FALSE),"")</x:f>
        <x:v>4</x:v>
      </x:c>
      <x:c r="X65" s="299" t="str">
        <x:f>IFERROR(VLOOKUP(W65,'Adoption Methodology'!$A$5:$C$10,3,FALSE),"")</x:f>
        <x:v>≈35–60% within the addressable segment; mature specialist use</x:v>
      </x:c>
      <x:c r="Y65" s="300" t="n">
        <x:f>IF(OR(U65="",W65=""),"",W65-U65)</x:f>
        <x:v>2</x:v>
      </x:c>
      <x:c r="Z65" s="299" t="str">
        <x:f>IF(Y65="","",IF(Y65&gt;0,"Adoption increased",IF(Y65=0,"Broadly unchanged","Adoption maturity lower")))</x:f>
        <x:v>Adoption increased</x:v>
      </x:c>
      <x:c r="AA65" s="300" t="str">
        <x:f>IFERROR(VLOOKUP(Q65,'Adoption Methodology'!$F$5:$H$12,3,FALSE),"Medium")</x:f>
        <x:v>High</x:v>
      </x:c>
      <x:c r="AB65" s="299" t="str">
        <x:f>IFERROR(VLOOKUP(A65,'Adoption Methodology'!$K$5:$L$14,2,FALSE),IFERROR(VLOOKUP(B65,'Adoption Methodology'!$N$5:$O$16,2,FALSE),"https://www.gartner.com/en/information-technology/technology-adoption-roadmaps"))</x:f>
        <x:v>https://www.gartner.com/en/information-technology/technology-adoption-roadmaps</x:v>
      </x:c>
      <x:c r="AC65" s="299" t="str">
        <x:f>IF(R65="","Modelled adoption maturity; see Adoption Methodology.",R65&amp;"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66">
      <x:c r="A66" s="299" t="str">
        <x:v>Connected Home</x:v>
      </x:c>
      <x:c r="B66" s="299" t="str">
        <x:v>Business / Emerging Technology</x:v>
      </x:c>
      <x:c r="C66" s="300" t="str">
        <x:v>IT</x:v>
      </x:c>
      <x:c r="D66" s="300" t="str">
        <x:v>PE</x:v>
      </x:c>
      <x:c r="E66" s="300" t="str">
        <x:v>TD</x:v>
      </x:c>
      <x:c r="F66" s="300" t="str"/>
      <x:c r="G66" s="300" t="str"/>
      <x:c r="H66" s="300" t="str"/>
      <x:c r="I66" s="300" t="str"/>
      <x:c r="J66" s="300" t="str"/>
      <x:c r="K66" s="300" t="str"/>
      <x:c r="L66" s="300" t="str"/>
      <x:c r="M66" s="300" t="n">
        <x:f>COUNTIF(C66:L66,"IT")+COUNTIF(C66:L66,"PE")+COUNTIF(C66:L66,"TD")+COUNTIF(C66:L66,"SE")+COUNTIF(C66:L66,"PP")</x:f>
        <x:v>3</x:v>
      </x:c>
      <x:c r="N66" s="300" t="n">
        <x:f>IF(C66&lt;&gt;"",2016,IF(D66&lt;&gt;"",2017,IF(E66&lt;&gt;"",2018,IF(F66&lt;&gt;"",2019,IF(G66&lt;&gt;"",2020,IF(H66&lt;&gt;"",2021,IF(I66&lt;&gt;"",2022,IF(J66&lt;&gt;"",2023,IF(K66&lt;&gt;"",2024,IF(L66&lt;&gt;"",2025,""))))))))))</x:f>
        <x:v>2016</x:v>
      </x:c>
      <x:c r="O66" s="300" t="n">
        <x:f>IF(L66&lt;&gt;"",2025,IF(K66&lt;&gt;"",2024,IF(J66&lt;&gt;"",2023,IF(I66&lt;&gt;"",2022,IF(H66&lt;&gt;"",2021,IF(G66&lt;&gt;"",2020,IF(F66&lt;&gt;"",2019,IF(E66&lt;&gt;"",2018,IF(D66&lt;&gt;"",2017,IF(C66&lt;&gt;"",2016,""))))))))))</x:f>
        <x:v>2018</x:v>
      </x:c>
      <x:c r="P66" s="299" t="str">
        <x:v>Exited flagship; may continue on specialist Hype Cycles</x:v>
      </x:c>
      <x:c r="Q66" s="299" t="str">
        <x:v>Established / specialist</x:v>
      </x:c>
      <x:c r="R66" s="299" t="str">
        <x:v>By 2026 there are credible production uses and vendors, but adoption is concentrated in particular workloads, industries or architectures rather than universal.</x:v>
      </x:c>
      <x:c r="S66" s="299" t="str"/>
      <x:c r="T66" s="300" t="str">
        <x:f>IFERROR(INDEX($C66:$L66,1,MATCH($N66,$C$4:$L$4,0)),"")</x:f>
        <x:v>IT</x:v>
      </x:c>
      <x:c r="U66" s="300" t="n">
        <x:f>IFERROR(VLOOKUP(T66,'Adoption Methodology'!$F$18:$G$22,2,FALSE),"")</x:f>
        <x:v>1</x:v>
      </x:c>
      <x:c r="V66" s="299" t="str">
        <x:f>IFERROR(VLOOKUP(U66,'Adoption Methodology'!$A$5:$C$10,3,FALSE),"")</x:f>
        <x:v>≈1–5% of relevant market; prototypes, pilots or very early deployments</x:v>
      </x:c>
      <x:c r="W66" s="300" t="n">
        <x:f>IFERROR(VLOOKUP(Q66,'Adoption Methodology'!$F$5:$H$12,2,FALSE),"")</x:f>
        <x:v>4</x:v>
      </x:c>
      <x:c r="X66" s="299" t="str">
        <x:f>IFERROR(VLOOKUP(W66,'Adoption Methodology'!$A$5:$C$10,3,FALSE),"")</x:f>
        <x:v>≈35–60% within the addressable segment; mature specialist use</x:v>
      </x:c>
      <x:c r="Y66" s="300" t="n">
        <x:f>IF(OR(U66="",W66=""),"",W66-U66)</x:f>
        <x:v>3</x:v>
      </x:c>
      <x:c r="Z66" s="299" t="str">
        <x:f>IF(Y66="","",IF(Y66&gt;0,"Adoption increased",IF(Y66=0,"Broadly unchanged","Adoption maturity lower")))</x:f>
        <x:v>Adoption increased</x:v>
      </x:c>
      <x:c r="AA66" s="300" t="str">
        <x:f>IFERROR(VLOOKUP(Q66,'Adoption Methodology'!$F$5:$H$12,3,FALSE),"Medium")</x:f>
        <x:v>High</x:v>
      </x:c>
      <x:c r="AB66" s="299" t="str">
        <x:f>IFERROR(VLOOKUP(A66,'Adoption Methodology'!$K$5:$L$14,2,FALSE),IFERROR(VLOOKUP(B66,'Adoption Methodology'!$N$5:$O$16,2,FALSE),"https://www.gartner.com/en/information-technology/technology-adoption-roadmaps"))</x:f>
        <x:v>https://www.gartner.com/en/information-technology/technology-adoption-roadmaps</x:v>
      </x:c>
      <x:c r="AC66" s="299" t="str">
        <x:f>IF(R66="","Modelled adoption maturity; see Adoption Methodology.",R66&amp;"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67">
      <x:c r="A67" s="299" t="str">
        <x:v>Context Brokering</x:v>
      </x:c>
      <x:c r="B67" s="299" t="str">
        <x:v>Business / Emerging Technology</x:v>
      </x:c>
      <x:c r="C67" s="300" t="str">
        <x:v>IT</x:v>
      </x:c>
      <x:c r="D67" s="300" t="str"/>
      <x:c r="E67" s="300" t="str"/>
      <x:c r="F67" s="300" t="str"/>
      <x:c r="G67" s="300" t="str"/>
      <x:c r="H67" s="300" t="str"/>
      <x:c r="I67" s="300" t="str"/>
      <x:c r="J67" s="300" t="str"/>
      <x:c r="K67" s="300" t="str"/>
      <x:c r="L67" s="300" t="str"/>
      <x:c r="M67" s="300" t="n">
        <x:f>COUNTIF(C67:L67,"IT")+COUNTIF(C67:L67,"PE")+COUNTIF(C67:L67,"TD")+COUNTIF(C67:L67,"SE")+COUNTIF(C67:L67,"PP")</x:f>
        <x:v>1</x:v>
      </x:c>
      <x:c r="N67" s="300" t="n">
        <x:f>IF(C67&lt;&gt;"",2016,IF(D67&lt;&gt;"",2017,IF(E67&lt;&gt;"",2018,IF(F67&lt;&gt;"",2019,IF(G67&lt;&gt;"",2020,IF(H67&lt;&gt;"",2021,IF(I67&lt;&gt;"",2022,IF(J67&lt;&gt;"",2023,IF(K67&lt;&gt;"",2024,IF(L67&lt;&gt;"",2025,""))))))))))</x:f>
        <x:v>2016</x:v>
      </x:c>
      <x:c r="O67" s="300" t="n">
        <x:f>IF(L67&lt;&gt;"",2025,IF(K67&lt;&gt;"",2024,IF(J67&lt;&gt;"",2023,IF(I67&lt;&gt;"",2022,IF(H67&lt;&gt;"",2021,IF(G67&lt;&gt;"",2020,IF(F67&lt;&gt;"",2019,IF(E67&lt;&gt;"",2018,IF(D67&lt;&gt;"",2017,IF(C67&lt;&gt;"",2016,""))))))))))</x:f>
        <x:v>2016</x:v>
      </x:c>
      <x:c r="P67" s="299" t="str">
        <x:v>Exited flagship; may continue on specialist Hype Cycles</x:v>
      </x:c>
      <x:c r="Q67" s="299" t="str">
        <x:v>Superseded / absorbed</x:v>
      </x:c>
      <x:c r="R67" s="299" t="str">
        <x:v>The concept largely survives inside broader platforms, successor terminology or more specific technology categories rather than as a standalone label.</x:v>
      </x:c>
      <x:c r="S67" s="299" t="str"/>
      <x:c r="T67" s="300" t="str">
        <x:f>IFERROR(INDEX($C67:$L67,1,MATCH($N67,$C$4:$L$4,0)),"")</x:f>
        <x:v>IT</x:v>
      </x:c>
      <x:c r="U67" s="300" t="n">
        <x:f>IFERROR(VLOOKUP(T67,'Adoption Methodology'!$F$18:$G$22,2,FALSE),"")</x:f>
        <x:v>1</x:v>
      </x:c>
      <x:c r="V67" s="299" t="str">
        <x:f>IFERROR(VLOOKUP(U67,'Adoption Methodology'!$A$5:$C$10,3,FALSE),"")</x:f>
        <x:v>≈1–5% of relevant market; prototypes, pilots or very early deployments</x:v>
      </x:c>
      <x:c r="W67" s="300" t="n">
        <x:f>IFERROR(VLOOKUP(Q67,'Adoption Methodology'!$F$5:$H$12,2,FALSE),"")</x:f>
        <x:v>3</x:v>
      </x:c>
      <x:c r="X67" s="299" t="str">
        <x:f>IFERROR(VLOOKUP(W67,'Adoption Methodology'!$A$5:$C$10,3,FALSE),"")</x:f>
        <x:v>≈15–35% of relevant market, or capability absorbed into successor platforms</x:v>
      </x:c>
      <x:c r="Y67" s="300" t="n">
        <x:f>IF(OR(U67="",W67=""),"",W67-U67)</x:f>
        <x:v>2</x:v>
      </x:c>
      <x:c r="Z67" s="299" t="str">
        <x:f>IF(Y67="","",IF(Y67&gt;0,"Adoption increased",IF(Y67=0,"Broadly unchanged","Adoption maturity lower")))</x:f>
        <x:v>Adoption increased</x:v>
      </x:c>
      <x:c r="AA67" s="300" t="str">
        <x:f>IFERROR(VLOOKUP(Q67,'Adoption Methodology'!$F$5:$H$12,3,FALSE),"Medium")</x:f>
        <x:v>Medium-Low</x:v>
      </x:c>
      <x:c r="AB67" s="299" t="str">
        <x:f>IFERROR(VLOOKUP(A67,'Adoption Methodology'!$K$5:$L$14,2,FALSE),IFERROR(VLOOKUP(B67,'Adoption Methodology'!$N$5:$O$16,2,FALSE),"https://www.gartner.com/en/information-technology/technology-adoption-roadmaps"))</x:f>
        <x:v>https://www.gartner.com/en/information-technology/technology-adoption-roadmaps</x:v>
      </x:c>
      <x:c r="AC67" s="299" t="str">
        <x:f>IF(R67="","Modelled adoption maturity; see Adoption Methodology.",R67&amp;"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68">
      <x:c r="A68" s="299" t="str">
        <x:v>Conversational AI Platform</x:v>
      </x:c>
      <x:c r="B68" s="299" t="str">
        <x:v>AI / Data / Analytics</x:v>
      </x:c>
      <x:c r="C68" s="300" t="str"/>
      <x:c r="D68" s="300" t="str"/>
      <x:c r="E68" s="300" t="str">
        <x:v>IT</x:v>
      </x:c>
      <x:c r="F68" s="300" t="str"/>
      <x:c r="G68" s="300" t="str"/>
      <x:c r="H68" s="300" t="str"/>
      <x:c r="I68" s="300" t="str"/>
      <x:c r="J68" s="300" t="str"/>
      <x:c r="K68" s="300" t="str"/>
      <x:c r="L68" s="300" t="str"/>
      <x:c r="M68" s="300" t="n">
        <x:f>COUNTIF(C68:L68,"IT")+COUNTIF(C68:L68,"PE")+COUNTIF(C68:L68,"TD")+COUNTIF(C68:L68,"SE")+COUNTIF(C68:L68,"PP")</x:f>
        <x:v>1</x:v>
      </x:c>
      <x:c r="N68" s="300" t="n">
        <x:f>IF(C68&lt;&gt;"",2016,IF(D68&lt;&gt;"",2017,IF(E68&lt;&gt;"",2018,IF(F68&lt;&gt;"",2019,IF(G68&lt;&gt;"",2020,IF(H68&lt;&gt;"",2021,IF(I68&lt;&gt;"",2022,IF(J68&lt;&gt;"",2023,IF(K68&lt;&gt;"",2024,IF(L68&lt;&gt;"",2025,""))))))))))</x:f>
        <x:v>2018</x:v>
      </x:c>
      <x:c r="O68" s="300" t="n">
        <x:f>IF(L68&lt;&gt;"",2025,IF(K68&lt;&gt;"",2024,IF(J68&lt;&gt;"",2023,IF(I68&lt;&gt;"",2022,IF(H68&lt;&gt;"",2021,IF(G68&lt;&gt;"",2020,IF(F68&lt;&gt;"",2019,IF(E68&lt;&gt;"",2018,IF(D68&lt;&gt;"",2017,IF(C68&lt;&gt;"",2016,""))))))))))</x:f>
        <x:v>2018</x:v>
      </x:c>
      <x:c r="P68" s="299" t="str">
        <x:v>Exited flagship; may continue on specialist Hype Cycles</x:v>
      </x:c>
      <x:c r="Q68" s="299" t="str">
        <x:v>Superseded / absorbed</x:v>
      </x:c>
      <x:c r="R68" s="299" t="str">
        <x:v>The concept largely survives inside broader platforms, successor terminology or more specific technology categories rather than as a standalone label.</x:v>
      </x:c>
      <x:c r="S68" s="299" t="str">
        <x:v>Successor family to conversational user interfaces.</x:v>
      </x:c>
      <x:c r="T68" s="300" t="str">
        <x:f>IFERROR(INDEX($C68:$L68,1,MATCH($N68,$C$4:$L$4,0)),"")</x:f>
        <x:v>IT</x:v>
      </x:c>
      <x:c r="U68" s="300" t="n">
        <x:f>IFERROR(VLOOKUP(T68,'Adoption Methodology'!$F$18:$G$22,2,FALSE),"")</x:f>
        <x:v>1</x:v>
      </x:c>
      <x:c r="V68" s="299" t="str">
        <x:f>IFERROR(VLOOKUP(U68,'Adoption Methodology'!$A$5:$C$10,3,FALSE),"")</x:f>
        <x:v>≈1–5% of relevant market; prototypes, pilots or very early deployments</x:v>
      </x:c>
      <x:c r="W68" s="300" t="n">
        <x:f>IFERROR(VLOOKUP(Q68,'Adoption Methodology'!$F$5:$H$12,2,FALSE),"")</x:f>
        <x:v>3</x:v>
      </x:c>
      <x:c r="X68" s="299" t="str">
        <x:f>IFERROR(VLOOKUP(W68,'Adoption Methodology'!$A$5:$C$10,3,FALSE),"")</x:f>
        <x:v>≈15–35% of relevant market, or capability absorbed into successor platforms</x:v>
      </x:c>
      <x:c r="Y68" s="300" t="n">
        <x:f>IF(OR(U68="",W68=""),"",W68-U68)</x:f>
        <x:v>2</x:v>
      </x:c>
      <x:c r="Z68" s="299" t="str">
        <x:f>IF(Y68="","",IF(Y68&gt;0,"Adoption increased",IF(Y68=0,"Broadly unchanged","Adoption maturity lower")))</x:f>
        <x:v>Adoption increased</x:v>
      </x:c>
      <x:c r="AA68" s="300" t="str">
        <x:f>IFERROR(VLOOKUP(Q68,'Adoption Methodology'!$F$5:$H$12,3,FALSE),"Medium")</x:f>
        <x:v>Medium-Low</x:v>
      </x:c>
      <x:c r="AB68" s="299" t="str">
        <x:f>IFERROR(VLOOKUP(A68,'Adoption Methodology'!$K$5:$L$14,2,FALSE),IFERROR(VLOOKUP(B68,'Adoption Methodology'!$N$5:$O$16,2,FALSE),"https://www.gartner.com/en/information-technology/technology-adoption-roadmaps"))</x:f>
        <x:v>https://www.mckinsey.com/capabilities/quantumblack/our-insights/the-state-of-ai</x:v>
      </x:c>
      <x:c r="AC68" s="299" t="str">
        <x:f>IF(R68="","Modelled adoption maturity; see Adoption Methodology.",R68&amp;"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69">
      <x:c r="A69" s="299" t="str">
        <x:v>Conversational User Interfaces</x:v>
      </x:c>
      <x:c r="B69" s="299" t="str">
        <x:v>Business / Emerging Technology</x:v>
      </x:c>
      <x:c r="C69" s="300" t="str">
        <x:v>IT</x:v>
      </x:c>
      <x:c r="D69" s="300" t="str">
        <x:v>IT</x:v>
      </x:c>
      <x:c r="E69" s="300" t="str"/>
      <x:c r="F69" s="300" t="str"/>
      <x:c r="G69" s="300" t="str"/>
      <x:c r="H69" s="300" t="str"/>
      <x:c r="I69" s="300" t="str"/>
      <x:c r="J69" s="300" t="str"/>
      <x:c r="K69" s="300" t="str"/>
      <x:c r="L69" s="300" t="str"/>
      <x:c r="M69" s="300" t="n">
        <x:f>COUNTIF(C69:L69,"IT")+COUNTIF(C69:L69,"PE")+COUNTIF(C69:L69,"TD")+COUNTIF(C69:L69,"SE")+COUNTIF(C69:L69,"PP")</x:f>
        <x:v>2</x:v>
      </x:c>
      <x:c r="N69" s="300" t="n">
        <x:f>IF(C69&lt;&gt;"",2016,IF(D69&lt;&gt;"",2017,IF(E69&lt;&gt;"",2018,IF(F69&lt;&gt;"",2019,IF(G69&lt;&gt;"",2020,IF(H69&lt;&gt;"",2021,IF(I69&lt;&gt;"",2022,IF(J69&lt;&gt;"",2023,IF(K69&lt;&gt;"",2024,IF(L69&lt;&gt;"",2025,""))))))))))</x:f>
        <x:v>2016</x:v>
      </x:c>
      <x:c r="O69" s="300" t="n">
        <x:f>IF(L69&lt;&gt;"",2025,IF(K69&lt;&gt;"",2024,IF(J69&lt;&gt;"",2023,IF(I69&lt;&gt;"",2022,IF(H69&lt;&gt;"",2021,IF(G69&lt;&gt;"",2020,IF(F69&lt;&gt;"",2019,IF(E69&lt;&gt;"",2018,IF(D69&lt;&gt;"",2017,IF(C69&lt;&gt;"",2016,""))))))))))</x:f>
        <x:v>2017</x:v>
      </x:c>
      <x:c r="P69" s="299" t="str">
        <x:v>Exited flagship; may continue on specialist Hype Cycles</x:v>
      </x:c>
      <x:c r="Q69" s="299" t="str">
        <x:v>Superseded / absorbed</x:v>
      </x:c>
      <x:c r="R69" s="299" t="str">
        <x:v>The concept largely survives inside broader platforms, successor terminology or more specific technology categories rather than as a standalone label.</x:v>
      </x:c>
      <x:c r="S69" s="299" t="str">
        <x:v>Related later label: Conversational AI Platform / LLM assistants.</x:v>
      </x:c>
      <x:c r="T69" s="300" t="str">
        <x:f>IFERROR(INDEX($C69:$L69,1,MATCH($N69,$C$4:$L$4,0)),"")</x:f>
        <x:v>IT</x:v>
      </x:c>
      <x:c r="U69" s="300" t="n">
        <x:f>IFERROR(VLOOKUP(T69,'Adoption Methodology'!$F$18:$G$22,2,FALSE),"")</x:f>
        <x:v>1</x:v>
      </x:c>
      <x:c r="V69" s="299" t="str">
        <x:f>IFERROR(VLOOKUP(U69,'Adoption Methodology'!$A$5:$C$10,3,FALSE),"")</x:f>
        <x:v>≈1–5% of relevant market; prototypes, pilots or very early deployments</x:v>
      </x:c>
      <x:c r="W69" s="300" t="n">
        <x:f>IFERROR(VLOOKUP(Q69,'Adoption Methodology'!$F$5:$H$12,2,FALSE),"")</x:f>
        <x:v>3</x:v>
      </x:c>
      <x:c r="X69" s="299" t="str">
        <x:f>IFERROR(VLOOKUP(W69,'Adoption Methodology'!$A$5:$C$10,3,FALSE),"")</x:f>
        <x:v>≈15–35% of relevant market, or capability absorbed into successor platforms</x:v>
      </x:c>
      <x:c r="Y69" s="300" t="n">
        <x:f>IF(OR(U69="",W69=""),"",W69-U69)</x:f>
        <x:v>2</x:v>
      </x:c>
      <x:c r="Z69" s="299" t="str">
        <x:f>IF(Y69="","",IF(Y69&gt;0,"Adoption increased",IF(Y69=0,"Broadly unchanged","Adoption maturity lower")))</x:f>
        <x:v>Adoption increased</x:v>
      </x:c>
      <x:c r="AA69" s="300" t="str">
        <x:f>IFERROR(VLOOKUP(Q69,'Adoption Methodology'!$F$5:$H$12,3,FALSE),"Medium")</x:f>
        <x:v>Medium-Low</x:v>
      </x:c>
      <x:c r="AB69" s="299" t="str">
        <x:f>IFERROR(VLOOKUP(A69,'Adoption Methodology'!$K$5:$L$14,2,FALSE),IFERROR(VLOOKUP(B69,'Adoption Methodology'!$N$5:$O$16,2,FALSE),"https://www.gartner.com/en/information-technology/technology-adoption-roadmaps"))</x:f>
        <x:v>https://www.gartner.com/en/information-technology/technology-adoption-roadmaps</x:v>
      </x:c>
      <x:c r="AC69" s="299" t="str">
        <x:f>IF(R69="","Modelled adoption maturity; see Adoption Methodology.",R69&amp;"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70">
      <x:c r="A70" s="299" t="str">
        <x:v>Crypto-Agility</x:v>
      </x:c>
      <x:c r="B70" s="299" t="str">
        <x:v>Security / Privacy</x:v>
      </x:c>
      <x:c r="C70" s="300" t="str"/>
      <x:c r="D70" s="300" t="str"/>
      <x:c r="E70" s="300" t="str"/>
      <x:c r="F70" s="300" t="str"/>
      <x:c r="G70" s="300" t="str"/>
      <x:c r="H70" s="300" t="str"/>
      <x:c r="I70" s="300" t="str"/>
      <x:c r="J70" s="300" t="str"/>
      <x:c r="K70" s="300" t="str"/>
      <x:c r="L70" s="300" t="str">
        <x:v>PE</x:v>
      </x:c>
      <x:c r="M70" s="300" t="n">
        <x:f>COUNTIF(C70:L70,"IT")+COUNTIF(C70:L70,"PE")+COUNTIF(C70:L70,"TD")+COUNTIF(C70:L70,"SE")+COUNTIF(C70:L70,"PP")</x:f>
        <x:v>1</x:v>
      </x:c>
      <x:c r="N70" s="300" t="n">
        <x:f>IF(C70&lt;&gt;"",2016,IF(D70&lt;&gt;"",2017,IF(E70&lt;&gt;"",2018,IF(F70&lt;&gt;"",2019,IF(G70&lt;&gt;"",2020,IF(H70&lt;&gt;"",2021,IF(I70&lt;&gt;"",2022,IF(J70&lt;&gt;"",2023,IF(K70&lt;&gt;"",2024,IF(L70&lt;&gt;"",2025,""))))))))))</x:f>
        <x:v>2025</x:v>
      </x:c>
      <x:c r="O70" s="300" t="n">
        <x:f>IF(L70&lt;&gt;"",2025,IF(K70&lt;&gt;"",2024,IF(J70&lt;&gt;"",2023,IF(I70&lt;&gt;"",2022,IF(H70&lt;&gt;"",2021,IF(G70&lt;&gt;"",2020,IF(F70&lt;&gt;"",2019,IF(E70&lt;&gt;"",2018,IF(D70&lt;&gt;"",2017,IF(C70&lt;&gt;"",2016,""))))))))))</x:f>
        <x:v>2025</x:v>
      </x:c>
      <x:c r="P70" s="299" t="str">
        <x:v>Still on the 2025 flagship</x:v>
      </x:c>
      <x:c r="Q70" s="299" t="str">
        <x:v>Established / specialist</x:v>
      </x:c>
      <x:c r="R70" s="299" t="str">
        <x:v>By 2026 there are credible production uses and vendors, but adoption is concentrated in particular workloads, industries or architectures rather than universal.</x:v>
      </x:c>
      <x:c r="S70" s="299" t="str"/>
      <x:c r="T70" s="300" t="str">
        <x:f>IFERROR(INDEX($C70:$L70,1,MATCH($N70,$C$4:$L$4,0)),"")</x:f>
        <x:v>PE</x:v>
      </x:c>
      <x:c r="U70" s="300" t="n">
        <x:f>IFERROR(VLOOKUP(T70,'Adoption Methodology'!$F$18:$G$22,2,FALSE),"")</x:f>
        <x:v>2</x:v>
      </x:c>
      <x:c r="V70" s="299" t="str">
        <x:f>IFERROR(VLOOKUP(U70,'Adoption Methodology'!$A$5:$C$10,3,FALSE),"")</x:f>
        <x:v>≈5–15% of relevant market; credible deployments but limited scale</x:v>
      </x:c>
      <x:c r="W70" s="300" t="n">
        <x:f>IFERROR(VLOOKUP(Q70,'Adoption Methodology'!$F$5:$H$12,2,FALSE),"")</x:f>
        <x:v>4</x:v>
      </x:c>
      <x:c r="X70" s="299" t="str">
        <x:f>IFERROR(VLOOKUP(W70,'Adoption Methodology'!$A$5:$C$10,3,FALSE),"")</x:f>
        <x:v>≈35–60% within the addressable segment; mature specialist use</x:v>
      </x:c>
      <x:c r="Y70" s="300" t="n">
        <x:f>IF(OR(U70="",W70=""),"",W70-U70)</x:f>
        <x:v>2</x:v>
      </x:c>
      <x:c r="Z70" s="299" t="str">
        <x:f>IF(Y70="","",IF(Y70&gt;0,"Adoption increased",IF(Y70=0,"Broadly unchanged","Adoption maturity lower")))</x:f>
        <x:v>Adoption increased</x:v>
      </x:c>
      <x:c r="AA70" s="300" t="str">
        <x:f>IFERROR(VLOOKUP(Q70,'Adoption Methodology'!$F$5:$H$12,3,FALSE),"Medium")</x:f>
        <x:v>High</x:v>
      </x:c>
      <x:c r="AB70" s="299" t="str">
        <x:f>IFERROR(VLOOKUP(A70,'Adoption Methodology'!$K$5:$L$14,2,FALSE),IFERROR(VLOOKUP(B70,'Adoption Methodology'!$N$5:$O$16,2,FALSE),"https://www.gartner.com/en/information-technology/technology-adoption-roadmaps"))</x:f>
        <x:v>https://www.gartner.com/en/information-technology/technology-adoption-roadmaps</x:v>
      </x:c>
      <x:c r="AC70" s="299" t="str">
        <x:f>IF(R70="","Modelled adoption maturity; see Adoption Methodology.",R70&amp;"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71">
      <x:c r="A71" s="299" t="str">
        <x:v>Cybernetic Teammate</x:v>
      </x:c>
      <x:c r="B71" s="299" t="str">
        <x:v>Human Augmentation / Future of Work</x:v>
      </x:c>
      <x:c r="C71" s="300" t="str"/>
      <x:c r="D71" s="300" t="str"/>
      <x:c r="E71" s="300" t="str"/>
      <x:c r="F71" s="300" t="str"/>
      <x:c r="G71" s="300" t="str"/>
      <x:c r="H71" s="300" t="str"/>
      <x:c r="I71" s="300" t="str"/>
      <x:c r="J71" s="300" t="str"/>
      <x:c r="K71" s="300" t="str"/>
      <x:c r="L71" s="300" t="str">
        <x:v>IT</x:v>
      </x:c>
      <x:c r="M71" s="300" t="n">
        <x:f>COUNTIF(C71:L71,"IT")+COUNTIF(C71:L71,"PE")+COUNTIF(C71:L71,"TD")+COUNTIF(C71:L71,"SE")+COUNTIF(C71:L71,"PP")</x:f>
        <x:v>1</x:v>
      </x:c>
      <x:c r="N71" s="300" t="n">
        <x:f>IF(C71&lt;&gt;"",2016,IF(D71&lt;&gt;"",2017,IF(E71&lt;&gt;"",2018,IF(F71&lt;&gt;"",2019,IF(G71&lt;&gt;"",2020,IF(H71&lt;&gt;"",2021,IF(I71&lt;&gt;"",2022,IF(J71&lt;&gt;"",2023,IF(K71&lt;&gt;"",2024,IF(L71&lt;&gt;"",2025,""))))))))))</x:f>
        <x:v>2025</x:v>
      </x:c>
      <x:c r="O71" s="300" t="n">
        <x:f>IF(L71&lt;&gt;"",2025,IF(K71&lt;&gt;"",2024,IF(J71&lt;&gt;"",2023,IF(I71&lt;&gt;"",2022,IF(H71&lt;&gt;"",2021,IF(G71&lt;&gt;"",2020,IF(F71&lt;&gt;"",2019,IF(E71&lt;&gt;"",2018,IF(D71&lt;&gt;"",2017,IF(C71&lt;&gt;"",2016,""))))))))))</x:f>
        <x:v>2025</x:v>
      </x:c>
      <x:c r="P71" s="299" t="str">
        <x:v>Still on the 2025 flagship</x:v>
      </x:c>
      <x:c r="Q71" s="299" t="str">
        <x:v>Still emerging / evolving</x:v>
      </x:c>
      <x:c r="R71" s="299" t="str">
        <x:v>By 2026 the category is still evolving quickly; commercial adoption exists or is beginning, but maturity and durable ROI vary significantly.</x:v>
      </x:c>
      <x:c r="S71" s="299" t="str"/>
      <x:c r="T71" s="300" t="str">
        <x:f>IFERROR(INDEX($C71:$L71,1,MATCH($N71,$C$4:$L$4,0)),"")</x:f>
        <x:v>IT</x:v>
      </x:c>
      <x:c r="U71" s="300" t="n">
        <x:f>IFERROR(VLOOKUP(T71,'Adoption Methodology'!$F$18:$G$22,2,FALSE),"")</x:f>
        <x:v>1</x:v>
      </x:c>
      <x:c r="V71" s="299" t="str">
        <x:f>IFERROR(VLOOKUP(U71,'Adoption Methodology'!$A$5:$C$10,3,FALSE),"")</x:f>
        <x:v>≈1–5% of relevant market; prototypes, pilots or very early deployments</x:v>
      </x:c>
      <x:c r="W71" s="300" t="n">
        <x:f>IFERROR(VLOOKUP(Q71,'Adoption Methodology'!$F$5:$H$12,2,FALSE),"")</x:f>
        <x:v>2</x:v>
      </x:c>
      <x:c r="X71" s="299" t="str">
        <x:f>IFERROR(VLOOKUP(W71,'Adoption Methodology'!$A$5:$C$10,3,FALSE),"")</x:f>
        <x:v>≈5–15% of relevant market; credible deployments but limited scale</x:v>
      </x:c>
      <x:c r="Y71" s="300" t="n">
        <x:f>IF(OR(U71="",W71=""),"",W71-U71)</x:f>
        <x:v>1</x:v>
      </x:c>
      <x:c r="Z71" s="299" t="str">
        <x:f>IF(Y71="","",IF(Y71&gt;0,"Adoption increased",IF(Y71=0,"Broadly unchanged","Adoption maturity lower")))</x:f>
        <x:v>Adoption increased</x:v>
      </x:c>
      <x:c r="AA71" s="300" t="str">
        <x:f>IFERROR(VLOOKUP(Q71,'Adoption Methodology'!$F$5:$H$12,3,FALSE),"Medium")</x:f>
        <x:v>Medium</x:v>
      </x:c>
      <x:c r="AB71" s="299" t="str">
        <x:f>IFERROR(VLOOKUP(A71,'Adoption Methodology'!$K$5:$L$14,2,FALSE),IFERROR(VLOOKUP(B71,'Adoption Methodology'!$N$5:$O$16,2,FALSE),"https://www.gartner.com/en/information-technology/technology-adoption-roadmaps"))</x:f>
        <x:v>https://www.gartner.com/en/information-technology/technology-adoption-roadmaps</x:v>
      </x:c>
      <x:c r="AC71" s="299" t="str">
        <x:f>IF(R71="","Modelled adoption maturity; see Adoption Methodology.",R71&amp;"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72">
      <x:c r="A72" s="299" t="str">
        <x:v>Cybersecurity Mesh Architecture</x:v>
      </x:c>
      <x:c r="B72" s="299" t="str">
        <x:v>Security / Privacy</x:v>
      </x:c>
      <x:c r="C72" s="300" t="str"/>
      <x:c r="D72" s="300" t="str"/>
      <x:c r="E72" s="300" t="str"/>
      <x:c r="F72" s="300" t="str"/>
      <x:c r="G72" s="300" t="str"/>
      <x:c r="H72" s="300" t="str"/>
      <x:c r="I72" s="300" t="str">
        <x:v>IT</x:v>
      </x:c>
      <x:c r="J72" s="300" t="str">
        <x:v>IT</x:v>
      </x:c>
      <x:c r="K72" s="300" t="str">
        <x:v>IT</x:v>
      </x:c>
      <x:c r="L72" s="300" t="str"/>
      <x:c r="M72" s="300" t="n">
        <x:f>COUNTIF(C72:L72,"IT")+COUNTIF(C72:L72,"PE")+COUNTIF(C72:L72,"TD")+COUNTIF(C72:L72,"SE")+COUNTIF(C72:L72,"PP")</x:f>
        <x:v>3</x:v>
      </x:c>
      <x:c r="N72" s="300" t="n">
        <x:f>IF(C72&lt;&gt;"",2016,IF(D72&lt;&gt;"",2017,IF(E72&lt;&gt;"",2018,IF(F72&lt;&gt;"",2019,IF(G72&lt;&gt;"",2020,IF(H72&lt;&gt;"",2021,IF(I72&lt;&gt;"",2022,IF(J72&lt;&gt;"",2023,IF(K72&lt;&gt;"",2024,IF(L72&lt;&gt;"",2025,""))))))))))</x:f>
        <x:v>2022</x:v>
      </x:c>
      <x:c r="O72" s="300" t="n">
        <x:f>IF(L72&lt;&gt;"",2025,IF(K72&lt;&gt;"",2024,IF(J72&lt;&gt;"",2023,IF(I72&lt;&gt;"",2022,IF(H72&lt;&gt;"",2021,IF(G72&lt;&gt;"",2020,IF(F72&lt;&gt;"",2019,IF(E72&lt;&gt;"",2018,IF(D72&lt;&gt;"",2017,IF(C72&lt;&gt;"",2016,""))))))))))</x:f>
        <x:v>2024</x:v>
      </x:c>
      <x:c r="P72" s="299" t="str">
        <x:v>Exited flagship; may continue on specialist Hype Cycles</x:v>
      </x:c>
      <x:c r="Q72" s="299" t="str">
        <x:v>Established / specialist</x:v>
      </x:c>
      <x:c r="R72" s="299" t="str">
        <x:v>By 2026 there are credible production uses and vendors, but adoption is concentrated in particular workloads, industries or architectures rather than universal.</x:v>
      </x:c>
      <x:c r="S72" s="299" t="str"/>
      <x:c r="T72" s="300" t="str">
        <x:f>IFERROR(INDEX($C72:$L72,1,MATCH($N72,$C$4:$L$4,0)),"")</x:f>
        <x:v>IT</x:v>
      </x:c>
      <x:c r="U72" s="300" t="n">
        <x:f>IFERROR(VLOOKUP(T72,'Adoption Methodology'!$F$18:$G$22,2,FALSE),"")</x:f>
        <x:v>1</x:v>
      </x:c>
      <x:c r="V72" s="299" t="str">
        <x:f>IFERROR(VLOOKUP(U72,'Adoption Methodology'!$A$5:$C$10,3,FALSE),"")</x:f>
        <x:v>≈1–5% of relevant market; prototypes, pilots or very early deployments</x:v>
      </x:c>
      <x:c r="W72" s="300" t="n">
        <x:f>IFERROR(VLOOKUP(Q72,'Adoption Methodology'!$F$5:$H$12,2,FALSE),"")</x:f>
        <x:v>4</x:v>
      </x:c>
      <x:c r="X72" s="299" t="str">
        <x:f>IFERROR(VLOOKUP(W72,'Adoption Methodology'!$A$5:$C$10,3,FALSE),"")</x:f>
        <x:v>≈35–60% within the addressable segment; mature specialist use</x:v>
      </x:c>
      <x:c r="Y72" s="300" t="n">
        <x:f>IF(OR(U72="",W72=""),"",W72-U72)</x:f>
        <x:v>3</x:v>
      </x:c>
      <x:c r="Z72" s="299" t="str">
        <x:f>IF(Y72="","",IF(Y72&gt;0,"Adoption increased",IF(Y72=0,"Broadly unchanged","Adoption maturity lower")))</x:f>
        <x:v>Adoption increased</x:v>
      </x:c>
      <x:c r="AA72" s="300" t="str">
        <x:f>IFERROR(VLOOKUP(Q72,'Adoption Methodology'!$F$5:$H$12,3,FALSE),"Medium")</x:f>
        <x:v>High</x:v>
      </x:c>
      <x:c r="AB72" s="299" t="str">
        <x:f>IFERROR(VLOOKUP(A72,'Adoption Methodology'!$K$5:$L$14,2,FALSE),IFERROR(VLOOKUP(B72,'Adoption Methodology'!$N$5:$O$16,2,FALSE),"https://www.gartner.com/en/information-technology/technology-adoption-roadmaps"))</x:f>
        <x:v>https://www.gartner.com/en/information-technology/technology-adoption-roadmaps</x:v>
      </x:c>
      <x:c r="AC72" s="299" t="str">
        <x:f>IF(R72="","Modelled adoption maturity; see Adoption Methodology.",R72&amp;"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73">
      <x:c r="A73" s="299" t="str">
        <x:v>Data Broker PaaS (dbrPaaS)</x:v>
      </x:c>
      <x:c r="B73" s="299" t="str">
        <x:v>Cloud / Software Engineering</x:v>
      </x:c>
      <x:c r="C73" s="300" t="str">
        <x:v>IT</x:v>
      </x:c>
      <x:c r="D73" s="300" t="str"/>
      <x:c r="E73" s="300" t="str"/>
      <x:c r="F73" s="300" t="str"/>
      <x:c r="G73" s="300" t="str"/>
      <x:c r="H73" s="300" t="str"/>
      <x:c r="I73" s="300" t="str"/>
      <x:c r="J73" s="300" t="str"/>
      <x:c r="K73" s="300" t="str"/>
      <x:c r="L73" s="300" t="str"/>
      <x:c r="M73" s="300" t="n">
        <x:f>COUNTIF(C73:L73,"IT")+COUNTIF(C73:L73,"PE")+COUNTIF(C73:L73,"TD")+COUNTIF(C73:L73,"SE")+COUNTIF(C73:L73,"PP")</x:f>
        <x:v>1</x:v>
      </x:c>
      <x:c r="N73" s="300" t="n">
        <x:f>IF(C73&lt;&gt;"",2016,IF(D73&lt;&gt;"",2017,IF(E73&lt;&gt;"",2018,IF(F73&lt;&gt;"",2019,IF(G73&lt;&gt;"",2020,IF(H73&lt;&gt;"",2021,IF(I73&lt;&gt;"",2022,IF(J73&lt;&gt;"",2023,IF(K73&lt;&gt;"",2024,IF(L73&lt;&gt;"",2025,""))))))))))</x:f>
        <x:v>2016</x:v>
      </x:c>
      <x:c r="O73" s="300" t="n">
        <x:f>IF(L73&lt;&gt;"",2025,IF(K73&lt;&gt;"",2024,IF(J73&lt;&gt;"",2023,IF(I73&lt;&gt;"",2022,IF(H73&lt;&gt;"",2021,IF(G73&lt;&gt;"",2020,IF(F73&lt;&gt;"",2019,IF(E73&lt;&gt;"",2018,IF(D73&lt;&gt;"",2017,IF(C73&lt;&gt;"",2016,""))))))))))</x:f>
        <x:v>2016</x:v>
      </x:c>
      <x:c r="P73" s="299" t="str">
        <x:v>Exited flagship; may continue on specialist Hype Cycles</x:v>
      </x:c>
      <x:c r="Q73" s="299" t="str">
        <x:v>Superseded / absorbed</x:v>
      </x:c>
      <x:c r="R73" s="299" t="str">
        <x:v>The concept largely survives inside broader platforms, successor terminology or more specific technology categories rather than as a standalone label.</x:v>
      </x:c>
      <x:c r="S73" s="299" t="str"/>
      <x:c r="T73" s="300" t="str">
        <x:f>IFERROR(INDEX($C73:$L73,1,MATCH($N73,$C$4:$L$4,0)),"")</x:f>
        <x:v>IT</x:v>
      </x:c>
      <x:c r="U73" s="300" t="n">
        <x:f>IFERROR(VLOOKUP(T73,'Adoption Methodology'!$F$18:$G$22,2,FALSE),"")</x:f>
        <x:v>1</x:v>
      </x:c>
      <x:c r="V73" s="299" t="str">
        <x:f>IFERROR(VLOOKUP(U73,'Adoption Methodology'!$A$5:$C$10,3,FALSE),"")</x:f>
        <x:v>≈1–5% of relevant market; prototypes, pilots or very early deployments</x:v>
      </x:c>
      <x:c r="W73" s="300" t="n">
        <x:f>IFERROR(VLOOKUP(Q73,'Adoption Methodology'!$F$5:$H$12,2,FALSE),"")</x:f>
        <x:v>3</x:v>
      </x:c>
      <x:c r="X73" s="299" t="str">
        <x:f>IFERROR(VLOOKUP(W73,'Adoption Methodology'!$A$5:$C$10,3,FALSE),"")</x:f>
        <x:v>≈15–35% of relevant market, or capability absorbed into successor platforms</x:v>
      </x:c>
      <x:c r="Y73" s="300" t="n">
        <x:f>IF(OR(U73="",W73=""),"",W73-U73)</x:f>
        <x:v>2</x:v>
      </x:c>
      <x:c r="Z73" s="299" t="str">
        <x:f>IF(Y73="","",IF(Y73&gt;0,"Adoption increased",IF(Y73=0,"Broadly unchanged","Adoption maturity lower")))</x:f>
        <x:v>Adoption increased</x:v>
      </x:c>
      <x:c r="AA73" s="300" t="str">
        <x:f>IFERROR(VLOOKUP(Q73,'Adoption Methodology'!$F$5:$H$12,3,FALSE),"Medium")</x:f>
        <x:v>Medium-Low</x:v>
      </x:c>
      <x:c r="AB73" s="299" t="str">
        <x:f>IFERROR(VLOOKUP(A73,'Adoption Methodology'!$K$5:$L$14,2,FALSE),IFERROR(VLOOKUP(B73,'Adoption Methodology'!$N$5:$O$16,2,FALSE),"https://www.gartner.com/en/information-technology/technology-adoption-roadmaps"))</x:f>
        <x:v>https://www.cncf.io/reports/the-cncf-annual-cloud-native-survey/</x:v>
      </x:c>
      <x:c r="AC73" s="299" t="str">
        <x:f>IF(R73="","Modelled adoption maturity; see Adoption Methodology.",R73&amp;"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74">
      <x:c r="A74" s="299" t="str">
        <x:v>Data Fabric</x:v>
      </x:c>
      <x:c r="B74" s="299" t="str">
        <x:v>AI / Data / Analytics</x:v>
      </x:c>
      <x:c r="C74" s="300" t="str"/>
      <x:c r="D74" s="300" t="str"/>
      <x:c r="E74" s="300" t="str"/>
      <x:c r="F74" s="300" t="str"/>
      <x:c r="G74" s="300" t="str">
        <x:v>PE</x:v>
      </x:c>
      <x:c r="H74" s="300" t="str">
        <x:v>PE</x:v>
      </x:c>
      <x:c r="I74" s="300" t="str"/>
      <x:c r="J74" s="300" t="str"/>
      <x:c r="K74" s="300" t="str"/>
      <x:c r="L74" s="300" t="str"/>
      <x:c r="M74" s="300" t="n">
        <x:f>COUNTIF(C74:L74,"IT")+COUNTIF(C74:L74,"PE")+COUNTIF(C74:L74,"TD")+COUNTIF(C74:L74,"SE")+COUNTIF(C74:L74,"PP")</x:f>
        <x:v>2</x:v>
      </x:c>
      <x:c r="N74" s="300" t="n">
        <x:f>IF(C74&lt;&gt;"",2016,IF(D74&lt;&gt;"",2017,IF(E74&lt;&gt;"",2018,IF(F74&lt;&gt;"",2019,IF(G74&lt;&gt;"",2020,IF(H74&lt;&gt;"",2021,IF(I74&lt;&gt;"",2022,IF(J74&lt;&gt;"",2023,IF(K74&lt;&gt;"",2024,IF(L74&lt;&gt;"",2025,""))))))))))</x:f>
        <x:v>2020</x:v>
      </x:c>
      <x:c r="O74" s="300" t="n">
        <x:f>IF(L74&lt;&gt;"",2025,IF(K74&lt;&gt;"",2024,IF(J74&lt;&gt;"",2023,IF(I74&lt;&gt;"",2022,IF(H74&lt;&gt;"",2021,IF(G74&lt;&gt;"",2020,IF(F74&lt;&gt;"",2019,IF(E74&lt;&gt;"",2018,IF(D74&lt;&gt;"",2017,IF(C74&lt;&gt;"",2016,""))))))))))</x:f>
        <x:v>2021</x:v>
      </x:c>
      <x:c r="P74" s="299" t="str">
        <x:v>Exited flagship; may continue on specialist Hype Cycles</x:v>
      </x:c>
      <x:c r="Q74" s="299" t="str">
        <x:v>Established / specialist</x:v>
      </x:c>
      <x:c r="R74" s="299" t="str">
        <x:v>By 2026 there are credible production uses and vendors, but adoption is concentrated in particular workloads, industries or architectures rather than universal.</x:v>
      </x:c>
      <x:c r="S74" s="299" t="str"/>
      <x:c r="T74" s="300" t="str">
        <x:f>IFERROR(INDEX($C74:$L74,1,MATCH($N74,$C$4:$L$4,0)),"")</x:f>
        <x:v>PE</x:v>
      </x:c>
      <x:c r="U74" s="300" t="n">
        <x:f>IFERROR(VLOOKUP(T74,'Adoption Methodology'!$F$18:$G$22,2,FALSE),"")</x:f>
        <x:v>2</x:v>
      </x:c>
      <x:c r="V74" s="299" t="str">
        <x:f>IFERROR(VLOOKUP(U74,'Adoption Methodology'!$A$5:$C$10,3,FALSE),"")</x:f>
        <x:v>≈5–15% of relevant market; credible deployments but limited scale</x:v>
      </x:c>
      <x:c r="W74" s="300" t="n">
        <x:f>IFERROR(VLOOKUP(Q74,'Adoption Methodology'!$F$5:$H$12,2,FALSE),"")</x:f>
        <x:v>4</x:v>
      </x:c>
      <x:c r="X74" s="299" t="str">
        <x:f>IFERROR(VLOOKUP(W74,'Adoption Methodology'!$A$5:$C$10,3,FALSE),"")</x:f>
        <x:v>≈35–60% within the addressable segment; mature specialist use</x:v>
      </x:c>
      <x:c r="Y74" s="300" t="n">
        <x:f>IF(OR(U74="",W74=""),"",W74-U74)</x:f>
        <x:v>2</x:v>
      </x:c>
      <x:c r="Z74" s="299" t="str">
        <x:f>IF(Y74="","",IF(Y74&gt;0,"Adoption increased",IF(Y74=0,"Broadly unchanged","Adoption maturity lower")))</x:f>
        <x:v>Adoption increased</x:v>
      </x:c>
      <x:c r="AA74" s="300" t="str">
        <x:f>IFERROR(VLOOKUP(Q74,'Adoption Methodology'!$F$5:$H$12,3,FALSE),"Medium")</x:f>
        <x:v>High</x:v>
      </x:c>
      <x:c r="AB74" s="299" t="str">
        <x:f>IFERROR(VLOOKUP(A74,'Adoption Methodology'!$K$5:$L$14,2,FALSE),IFERROR(VLOOKUP(B74,'Adoption Methodology'!$N$5:$O$16,2,FALSE),"https://www.gartner.com/en/information-technology/technology-adoption-roadmaps"))</x:f>
        <x:v>https://www.mckinsey.com/capabilities/quantumblack/our-insights/the-state-of-ai</x:v>
      </x:c>
      <x:c r="AC74" s="299" t="str">
        <x:f>IF(R74="","Modelled adoption maturity; see Adoption Methodology.",R74&amp;"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75">
      <x:c r="A75" s="299" t="str">
        <x:v>Data Observability</x:v>
      </x:c>
      <x:c r="B75" s="299" t="str">
        <x:v>Cloud / Software Engineering</x:v>
      </x:c>
      <x:c r="C75" s="300" t="str"/>
      <x:c r="D75" s="300" t="str"/>
      <x:c r="E75" s="300" t="str"/>
      <x:c r="F75" s="300" t="str"/>
      <x:c r="G75" s="300" t="str"/>
      <x:c r="H75" s="300" t="str"/>
      <x:c r="I75" s="300" t="str">
        <x:v>IT</x:v>
      </x:c>
      <x:c r="J75" s="300" t="str"/>
      <x:c r="K75" s="300" t="str"/>
      <x:c r="L75" s="300" t="str"/>
      <x:c r="M75" s="300" t="n">
        <x:f>COUNTIF(C75:L75,"IT")+COUNTIF(C75:L75,"PE")+COUNTIF(C75:L75,"TD")+COUNTIF(C75:L75,"SE")+COUNTIF(C75:L75,"PP")</x:f>
        <x:v>1</x:v>
      </x:c>
      <x:c r="N75" s="300" t="n">
        <x:f>IF(C75&lt;&gt;"",2016,IF(D75&lt;&gt;"",2017,IF(E75&lt;&gt;"",2018,IF(F75&lt;&gt;"",2019,IF(G75&lt;&gt;"",2020,IF(H75&lt;&gt;"",2021,IF(I75&lt;&gt;"",2022,IF(J75&lt;&gt;"",2023,IF(K75&lt;&gt;"",2024,IF(L75&lt;&gt;"",2025,""))))))))))</x:f>
        <x:v>2022</x:v>
      </x:c>
      <x:c r="O75" s="300" t="n">
        <x:f>IF(L75&lt;&gt;"",2025,IF(K75&lt;&gt;"",2024,IF(J75&lt;&gt;"",2023,IF(I75&lt;&gt;"",2022,IF(H75&lt;&gt;"",2021,IF(G75&lt;&gt;"",2020,IF(F75&lt;&gt;"",2019,IF(E75&lt;&gt;"",2018,IF(D75&lt;&gt;"",2017,IF(C75&lt;&gt;"",2016,""))))))))))</x:f>
        <x:v>2022</x:v>
      </x:c>
      <x:c r="P75" s="299" t="str">
        <x:v>Exited flagship; may continue on specialist Hype Cycles</x:v>
      </x:c>
      <x:c r="Q75" s="299" t="str">
        <x:v>Established / mainstream</x:v>
      </x:c>
      <x:c r="R75" s="299" t="str">
        <x:v>By 2026 this capability is commercially established or embedded in mainstream enterprise/consumer technology, even if the original Gartner label is no longer prominent.</x:v>
      </x:c>
      <x:c r="S75" s="299" t="str"/>
      <x:c r="T75" s="300" t="str">
        <x:f>IFERROR(INDEX($C75:$L75,1,MATCH($N75,$C$4:$L$4,0)),"")</x:f>
        <x:v>IT</x:v>
      </x:c>
      <x:c r="U75" s="300" t="n">
        <x:f>IFERROR(VLOOKUP(T75,'Adoption Methodology'!$F$18:$G$22,2,FALSE),"")</x:f>
        <x:v>1</x:v>
      </x:c>
      <x:c r="V75" s="299" t="str">
        <x:f>IFERROR(VLOOKUP(U75,'Adoption Methodology'!$A$5:$C$10,3,FALSE),"")</x:f>
        <x:v>≈1–5% of relevant market; prototypes, pilots or very early deployments</x:v>
      </x:c>
      <x:c r="W75" s="300" t="n">
        <x:f>IFERROR(VLOOKUP(Q75,'Adoption Methodology'!$F$5:$H$12,2,FALSE),"")</x:f>
        <x:v>5</x:v>
      </x:c>
      <x:c r="X75" s="299" t="str">
        <x:f>IFERROR(VLOOKUP(W75,'Adoption Methodology'!$A$5:$C$10,3,FALSE),"")</x:f>
        <x:v>&gt;60% in leading/addressable segments, or effectively a standard/default capability</x:v>
      </x:c>
      <x:c r="Y75" s="300" t="n">
        <x:f>IF(OR(U75="",W75=""),"",W75-U75)</x:f>
        <x:v>4</x:v>
      </x:c>
      <x:c r="Z75" s="299" t="str">
        <x:f>IF(Y75="","",IF(Y75&gt;0,"Adoption increased",IF(Y75=0,"Broadly unchanged","Adoption maturity lower")))</x:f>
        <x:v>Adoption increased</x:v>
      </x:c>
      <x:c r="AA75" s="300" t="str">
        <x:f>IFERROR(VLOOKUP(Q75,'Adoption Methodology'!$F$5:$H$12,3,FALSE),"Medium")</x:f>
        <x:v>High</x:v>
      </x:c>
      <x:c r="AB75" s="299" t="str">
        <x:f>IFERROR(VLOOKUP(A75,'Adoption Methodology'!$K$5:$L$14,2,FALSE),IFERROR(VLOOKUP(B75,'Adoption Methodology'!$N$5:$O$16,2,FALSE),"https://www.gartner.com/en/information-technology/technology-adoption-roadmaps"))</x:f>
        <x:v>https://www.cncf.io/reports/the-cncf-annual-cloud-native-survey/</x:v>
      </x:c>
      <x:c r="AC75" s="299" t="str">
        <x:f>IF(R75="","Modelled adoption maturity; see Adoption Methodology.",R75&amp;"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76">
      <x:c r="A76" s="299" t="str">
        <x:v>Decentralized Autonomous Organization</x:v>
      </x:c>
      <x:c r="B76" s="299" t="str">
        <x:v>Blockchain / Digital Assets</x:v>
      </x:c>
      <x:c r="C76" s="300" t="str"/>
      <x:c r="D76" s="300" t="str"/>
      <x:c r="E76" s="300" t="str"/>
      <x:c r="F76" s="300" t="str">
        <x:v>IT</x:v>
      </x:c>
      <x:c r="G76" s="300" t="str"/>
      <x:c r="H76" s="300" t="str"/>
      <x:c r="I76" s="300" t="str"/>
      <x:c r="J76" s="300" t="str"/>
      <x:c r="K76" s="300" t="str"/>
      <x:c r="L76" s="300" t="str"/>
      <x:c r="M76" s="300" t="n">
        <x:f>COUNTIF(C76:L76,"IT")+COUNTIF(C76:L76,"PE")+COUNTIF(C76:L76,"TD")+COUNTIF(C76:L76,"SE")+COUNTIF(C76:L76,"PP")</x:f>
        <x:v>1</x:v>
      </x:c>
      <x:c r="N76" s="300" t="n">
        <x:f>IF(C76&lt;&gt;"",2016,IF(D76&lt;&gt;"",2017,IF(E76&lt;&gt;"",2018,IF(F76&lt;&gt;"",2019,IF(G76&lt;&gt;"",2020,IF(H76&lt;&gt;"",2021,IF(I76&lt;&gt;"",2022,IF(J76&lt;&gt;"",2023,IF(K76&lt;&gt;"",2024,IF(L76&lt;&gt;"",2025,""))))))))))</x:f>
        <x:v>2019</x:v>
      </x:c>
      <x:c r="O76" s="300" t="n">
        <x:f>IF(L76&lt;&gt;"",2025,IF(K76&lt;&gt;"",2024,IF(J76&lt;&gt;"",2023,IF(I76&lt;&gt;"",2022,IF(H76&lt;&gt;"",2021,IF(G76&lt;&gt;"",2020,IF(F76&lt;&gt;"",2019,IF(E76&lt;&gt;"",2018,IF(D76&lt;&gt;"",2017,IF(C76&lt;&gt;"",2016,""))))))))))</x:f>
        <x:v>2019</x:v>
      </x:c>
      <x:c r="P76" s="299" t="str">
        <x:v>Exited flagship; may continue on specialist Hype Cycles</x:v>
      </x:c>
      <x:c r="Q76" s="299" t="str">
        <x:v>Hype cooled / niche</x:v>
      </x:c>
      <x:c r="R76" s="299" t="str">
        <x:v>By 2026 the original hype has materially cooled; use persists in narrower or redefined applications rather than the broad promise implied at peak.</x:v>
      </x:c>
      <x:c r="S76" s="299" t="str"/>
      <x:c r="T76" s="300" t="str">
        <x:f>IFERROR(INDEX($C76:$L76,1,MATCH($N76,$C$4:$L$4,0)),"")</x:f>
        <x:v>IT</x:v>
      </x:c>
      <x:c r="U76" s="300" t="n">
        <x:f>IFERROR(VLOOKUP(T76,'Adoption Methodology'!$F$18:$G$22,2,FALSE),"")</x:f>
        <x:v>1</x:v>
      </x:c>
      <x:c r="V76" s="299" t="str">
        <x:f>IFERROR(VLOOKUP(U76,'Adoption Methodology'!$A$5:$C$10,3,FALSE),"")</x:f>
        <x:v>≈1–5% of relevant market; prototypes, pilots or very early deployments</x:v>
      </x:c>
      <x:c r="W76" s="300" t="n">
        <x:f>IFERROR(VLOOKUP(Q76,'Adoption Methodology'!$F$5:$H$12,2,FALSE),"")</x:f>
        <x:v>2</x:v>
      </x:c>
      <x:c r="X76" s="299" t="str">
        <x:f>IFERROR(VLOOKUP(W76,'Adoption Methodology'!$A$5:$C$10,3,FALSE),"")</x:f>
        <x:v>≈5–15% of relevant market; credible deployments but limited scale</x:v>
      </x:c>
      <x:c r="Y76" s="300" t="n">
        <x:f>IF(OR(U76="",W76=""),"",W76-U76)</x:f>
        <x:v>1</x:v>
      </x:c>
      <x:c r="Z76" s="299" t="str">
        <x:f>IF(Y76="","",IF(Y76&gt;0,"Adoption increased",IF(Y76=0,"Broadly unchanged","Adoption maturity lower")))</x:f>
        <x:v>Adoption increased</x:v>
      </x:c>
      <x:c r="AA76" s="300" t="str">
        <x:f>IFERROR(VLOOKUP(Q76,'Adoption Methodology'!$F$5:$H$12,3,FALSE),"Medium")</x:f>
        <x:v>Medium</x:v>
      </x:c>
      <x:c r="AB76" s="299" t="str">
        <x:f>IFERROR(VLOOKUP(A76,'Adoption Methodology'!$K$5:$L$14,2,FALSE),IFERROR(VLOOKUP(B76,'Adoption Methodology'!$N$5:$O$16,2,FALSE),"https://www.gartner.com/en/information-technology/technology-adoption-roadmaps"))</x:f>
        <x:v>https://www.deloitte.com/us/en/insights/topics/business-strategy-growth/2q-2025-cfo-signals-survey.html</x:v>
      </x:c>
      <x:c r="AC76" s="299" t="str">
        <x:f>IF(R76="","Modelled adoption maturity; see Adoption Methodology.",R76&amp;"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77">
      <x:c r="A77" s="299" t="str">
        <x:v>Decentralized Finance</x:v>
      </x:c>
      <x:c r="B77" s="299" t="str">
        <x:v>Blockchain / Digital Assets</x:v>
      </x:c>
      <x:c r="C77" s="300" t="str"/>
      <x:c r="D77" s="300" t="str"/>
      <x:c r="E77" s="300" t="str"/>
      <x:c r="F77" s="300" t="str"/>
      <x:c r="G77" s="300" t="str"/>
      <x:c r="H77" s="300" t="str">
        <x:v>IT</x:v>
      </x:c>
      <x:c r="I77" s="300" t="str"/>
      <x:c r="J77" s="300" t="str"/>
      <x:c r="K77" s="300" t="str"/>
      <x:c r="L77" s="300" t="str"/>
      <x:c r="M77" s="300" t="n">
        <x:f>COUNTIF(C77:L77,"IT")+COUNTIF(C77:L77,"PE")+COUNTIF(C77:L77,"TD")+COUNTIF(C77:L77,"SE")+COUNTIF(C77:L77,"PP")</x:f>
        <x:v>1</x:v>
      </x:c>
      <x:c r="N77" s="300" t="n">
        <x:f>IF(C77&lt;&gt;"",2016,IF(D77&lt;&gt;"",2017,IF(E77&lt;&gt;"",2018,IF(F77&lt;&gt;"",2019,IF(G77&lt;&gt;"",2020,IF(H77&lt;&gt;"",2021,IF(I77&lt;&gt;"",2022,IF(J77&lt;&gt;"",2023,IF(K77&lt;&gt;"",2024,IF(L77&lt;&gt;"",2025,""))))))))))</x:f>
        <x:v>2021</x:v>
      </x:c>
      <x:c r="O77" s="300" t="n">
        <x:f>IF(L77&lt;&gt;"",2025,IF(K77&lt;&gt;"",2024,IF(J77&lt;&gt;"",2023,IF(I77&lt;&gt;"",2022,IF(H77&lt;&gt;"",2021,IF(G77&lt;&gt;"",2020,IF(F77&lt;&gt;"",2019,IF(E77&lt;&gt;"",2018,IF(D77&lt;&gt;"",2017,IF(C77&lt;&gt;"",2016,""))))))))))</x:f>
        <x:v>2021</x:v>
      </x:c>
      <x:c r="P77" s="299" t="str">
        <x:v>Exited flagship; may continue on specialist Hype Cycles</x:v>
      </x:c>
      <x:c r="Q77" s="299" t="str">
        <x:v>Hype cooled / niche</x:v>
      </x:c>
      <x:c r="R77" s="299" t="str">
        <x:v>By 2026 the original hype has materially cooled; use persists in narrower or redefined applications rather than the broad promise implied at peak.</x:v>
      </x:c>
      <x:c r="S77" s="299" t="str"/>
      <x:c r="T77" s="300" t="str">
        <x:f>IFERROR(INDEX($C77:$L77,1,MATCH($N77,$C$4:$L$4,0)),"")</x:f>
        <x:v>IT</x:v>
      </x:c>
      <x:c r="U77" s="300" t="n">
        <x:f>IFERROR(VLOOKUP(T77,'Adoption Methodology'!$F$18:$G$22,2,FALSE),"")</x:f>
        <x:v>1</x:v>
      </x:c>
      <x:c r="V77" s="299" t="str">
        <x:f>IFERROR(VLOOKUP(U77,'Adoption Methodology'!$A$5:$C$10,3,FALSE),"")</x:f>
        <x:v>≈1–5% of relevant market; prototypes, pilots or very early deployments</x:v>
      </x:c>
      <x:c r="W77" s="300" t="n">
        <x:f>IFERROR(VLOOKUP(Q77,'Adoption Methodology'!$F$5:$H$12,2,FALSE),"")</x:f>
        <x:v>2</x:v>
      </x:c>
      <x:c r="X77" s="299" t="str">
        <x:f>IFERROR(VLOOKUP(W77,'Adoption Methodology'!$A$5:$C$10,3,FALSE),"")</x:f>
        <x:v>≈5–15% of relevant market; credible deployments but limited scale</x:v>
      </x:c>
      <x:c r="Y77" s="300" t="n">
        <x:f>IF(OR(U77="",W77=""),"",W77-U77)</x:f>
        <x:v>1</x:v>
      </x:c>
      <x:c r="Z77" s="299" t="str">
        <x:f>IF(Y77="","",IF(Y77&gt;0,"Adoption increased",IF(Y77=0,"Broadly unchanged","Adoption maturity lower")))</x:f>
        <x:v>Adoption increased</x:v>
      </x:c>
      <x:c r="AA77" s="300" t="str">
        <x:f>IFERROR(VLOOKUP(Q77,'Adoption Methodology'!$F$5:$H$12,3,FALSE),"Medium")</x:f>
        <x:v>Medium</x:v>
      </x:c>
      <x:c r="AB77" s="299" t="str">
        <x:f>IFERROR(VLOOKUP(A77,'Adoption Methodology'!$K$5:$L$14,2,FALSE),IFERROR(VLOOKUP(B77,'Adoption Methodology'!$N$5:$O$16,2,FALSE),"https://www.gartner.com/en/information-technology/technology-adoption-roadmaps"))</x:f>
        <x:v>https://www.deloitte.com/us/en/insights/topics/business-strategy-growth/2q-2025-cfo-signals-survey.html</x:v>
      </x:c>
      <x:c r="AC77" s="299" t="str">
        <x:f>IF(R77="","Modelled adoption maturity; see Adoption Methodology.",R77&amp;"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78">
      <x:c r="A78" s="299" t="str">
        <x:v>Decentralized Identity</x:v>
      </x:c>
      <x:c r="B78" s="299" t="str">
        <x:v>Blockchain / Digital Assets</x:v>
      </x:c>
      <x:c r="C78" s="300" t="str"/>
      <x:c r="D78" s="300" t="str"/>
      <x:c r="E78" s="300" t="str"/>
      <x:c r="F78" s="300" t="str"/>
      <x:c r="G78" s="300" t="str"/>
      <x:c r="H78" s="300" t="str">
        <x:v>PE</x:v>
      </x:c>
      <x:c r="I78" s="300" t="str">
        <x:v>PE</x:v>
      </x:c>
      <x:c r="J78" s="300" t="str"/>
      <x:c r="K78" s="300" t="str"/>
      <x:c r="L78" s="300" t="str"/>
      <x:c r="M78" s="300" t="n">
        <x:f>COUNTIF(C78:L78,"IT")+COUNTIF(C78:L78,"PE")+COUNTIF(C78:L78,"TD")+COUNTIF(C78:L78,"SE")+COUNTIF(C78:L78,"PP")</x:f>
        <x:v>2</x:v>
      </x:c>
      <x:c r="N78" s="300" t="n">
        <x:f>IF(C78&lt;&gt;"",2016,IF(D78&lt;&gt;"",2017,IF(E78&lt;&gt;"",2018,IF(F78&lt;&gt;"",2019,IF(G78&lt;&gt;"",2020,IF(H78&lt;&gt;"",2021,IF(I78&lt;&gt;"",2022,IF(J78&lt;&gt;"",2023,IF(K78&lt;&gt;"",2024,IF(L78&lt;&gt;"",2025,""))))))))))</x:f>
        <x:v>2021</x:v>
      </x:c>
      <x:c r="O78" s="300" t="n">
        <x:f>IF(L78&lt;&gt;"",2025,IF(K78&lt;&gt;"",2024,IF(J78&lt;&gt;"",2023,IF(I78&lt;&gt;"",2022,IF(H78&lt;&gt;"",2021,IF(G78&lt;&gt;"",2020,IF(F78&lt;&gt;"",2019,IF(E78&lt;&gt;"",2018,IF(D78&lt;&gt;"",2017,IF(C78&lt;&gt;"",2016,""))))))))))</x:f>
        <x:v>2022</x:v>
      </x:c>
      <x:c r="P78" s="299" t="str">
        <x:v>Exited flagship; may continue on specialist Hype Cycles</x:v>
      </x:c>
      <x:c r="Q78" s="299" t="str">
        <x:v>Established / specialist</x:v>
      </x:c>
      <x:c r="R78" s="299" t="str">
        <x:v>By 2026 there are credible production uses and vendors, but adoption is concentrated in particular workloads, industries or architectures rather than universal.</x:v>
      </x:c>
      <x:c r="S78" s="299" t="str"/>
      <x:c r="T78" s="300" t="str">
        <x:f>IFERROR(INDEX($C78:$L78,1,MATCH($N78,$C$4:$L$4,0)),"")</x:f>
        <x:v>PE</x:v>
      </x:c>
      <x:c r="U78" s="300" t="n">
        <x:f>IFERROR(VLOOKUP(T78,'Adoption Methodology'!$F$18:$G$22,2,FALSE),"")</x:f>
        <x:v>2</x:v>
      </x:c>
      <x:c r="V78" s="299" t="str">
        <x:f>IFERROR(VLOOKUP(U78,'Adoption Methodology'!$A$5:$C$10,3,FALSE),"")</x:f>
        <x:v>≈5–15% of relevant market; credible deployments but limited scale</x:v>
      </x:c>
      <x:c r="W78" s="300" t="n">
        <x:f>IFERROR(VLOOKUP(Q78,'Adoption Methodology'!$F$5:$H$12,2,FALSE),"")</x:f>
        <x:v>4</x:v>
      </x:c>
      <x:c r="X78" s="299" t="str">
        <x:f>IFERROR(VLOOKUP(W78,'Adoption Methodology'!$A$5:$C$10,3,FALSE),"")</x:f>
        <x:v>≈35–60% within the addressable segment; mature specialist use</x:v>
      </x:c>
      <x:c r="Y78" s="300" t="n">
        <x:f>IF(OR(U78="",W78=""),"",W78-U78)</x:f>
        <x:v>2</x:v>
      </x:c>
      <x:c r="Z78" s="299" t="str">
        <x:f>IF(Y78="","",IF(Y78&gt;0,"Adoption increased",IF(Y78=0,"Broadly unchanged","Adoption maturity lower")))</x:f>
        <x:v>Adoption increased</x:v>
      </x:c>
      <x:c r="AA78" s="300" t="str">
        <x:f>IFERROR(VLOOKUP(Q78,'Adoption Methodology'!$F$5:$H$12,3,FALSE),"Medium")</x:f>
        <x:v>High</x:v>
      </x:c>
      <x:c r="AB78" s="299" t="str">
        <x:f>IFERROR(VLOOKUP(A78,'Adoption Methodology'!$K$5:$L$14,2,FALSE),IFERROR(VLOOKUP(B78,'Adoption Methodology'!$N$5:$O$16,2,FALSE),"https://www.gartner.com/en/information-technology/technology-adoption-roadmaps"))</x:f>
        <x:v>https://www.deloitte.com/us/en/insights/topics/business-strategy-growth/2q-2025-cfo-signals-survey.html</x:v>
      </x:c>
      <x:c r="AC78" s="299" t="str">
        <x:f>IF(R78="","Modelled adoption maturity; see Adoption Methodology.",R78&amp;"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79">
      <x:c r="A79" s="299" t="str">
        <x:v>Decentralized Web</x:v>
      </x:c>
      <x:c r="B79" s="299" t="str">
        <x:v>Blockchain / Digital Assets</x:v>
      </x:c>
      <x:c r="C79" s="300" t="str"/>
      <x:c r="D79" s="300" t="str"/>
      <x:c r="E79" s="300" t="str"/>
      <x:c r="F79" s="300" t="str">
        <x:v>IT</x:v>
      </x:c>
      <x:c r="G79" s="300" t="str"/>
      <x:c r="H79" s="300" t="str"/>
      <x:c r="I79" s="300" t="str"/>
      <x:c r="J79" s="300" t="str"/>
      <x:c r="K79" s="300" t="str"/>
      <x:c r="L79" s="300" t="str"/>
      <x:c r="M79" s="300" t="n">
        <x:f>COUNTIF(C79:L79,"IT")+COUNTIF(C79:L79,"PE")+COUNTIF(C79:L79,"TD")+COUNTIF(C79:L79,"SE")+COUNTIF(C79:L79,"PP")</x:f>
        <x:v>1</x:v>
      </x:c>
      <x:c r="N79" s="300" t="n">
        <x:f>IF(C79&lt;&gt;"",2016,IF(D79&lt;&gt;"",2017,IF(E79&lt;&gt;"",2018,IF(F79&lt;&gt;"",2019,IF(G79&lt;&gt;"",2020,IF(H79&lt;&gt;"",2021,IF(I79&lt;&gt;"",2022,IF(J79&lt;&gt;"",2023,IF(K79&lt;&gt;"",2024,IF(L79&lt;&gt;"",2025,""))))))))))</x:f>
        <x:v>2019</x:v>
      </x:c>
      <x:c r="O79" s="300" t="n">
        <x:f>IF(L79&lt;&gt;"",2025,IF(K79&lt;&gt;"",2024,IF(J79&lt;&gt;"",2023,IF(I79&lt;&gt;"",2022,IF(H79&lt;&gt;"",2021,IF(G79&lt;&gt;"",2020,IF(F79&lt;&gt;"",2019,IF(E79&lt;&gt;"",2018,IF(D79&lt;&gt;"",2017,IF(C79&lt;&gt;"",2016,""))))))))))</x:f>
        <x:v>2019</x:v>
      </x:c>
      <x:c r="P79" s="299" t="str">
        <x:v>Exited flagship; may continue on specialist Hype Cycles</x:v>
      </x:c>
      <x:c r="Q79" s="299" t="str">
        <x:v>Exited flagship / specialist</x:v>
      </x:c>
      <x:c r="R79" s="299" t="str">
        <x:v>The label left the flagship cycle and is now best viewed as specialist, absorbed into adjacent categories, or lower-profile rather than a simple success/failure.</x:v>
      </x:c>
      <x:c r="S79" s="299" t="str"/>
      <x:c r="T79" s="300" t="str">
        <x:f>IFERROR(INDEX($C79:$L79,1,MATCH($N79,$C$4:$L$4,0)),"")</x:f>
        <x:v>IT</x:v>
      </x:c>
      <x:c r="U79" s="300" t="n">
        <x:f>IFERROR(VLOOKUP(T79,'Adoption Methodology'!$F$18:$G$22,2,FALSE),"")</x:f>
        <x:v>1</x:v>
      </x:c>
      <x:c r="V79" s="299" t="str">
        <x:f>IFERROR(VLOOKUP(U79,'Adoption Methodology'!$A$5:$C$10,3,FALSE),"")</x:f>
        <x:v>≈1–5% of relevant market; prototypes, pilots or very early deployments</x:v>
      </x:c>
      <x:c r="W79" s="300" t="n">
        <x:f>IFERROR(VLOOKUP(Q79,'Adoption Methodology'!$F$5:$H$12,2,FALSE),"")</x:f>
        <x:v>3</x:v>
      </x:c>
      <x:c r="X79" s="299" t="str">
        <x:f>IFERROR(VLOOKUP(W79,'Adoption Methodology'!$A$5:$C$10,3,FALSE),"")</x:f>
        <x:v>≈15–35% of relevant market, or capability absorbed into successor platforms</x:v>
      </x:c>
      <x:c r="Y79" s="300" t="n">
        <x:f>IF(OR(U79="",W79=""),"",W79-U79)</x:f>
        <x:v>2</x:v>
      </x:c>
      <x:c r="Z79" s="299" t="str">
        <x:f>IF(Y79="","",IF(Y79&gt;0,"Adoption increased",IF(Y79=0,"Broadly unchanged","Adoption maturity lower")))</x:f>
        <x:v>Adoption increased</x:v>
      </x:c>
      <x:c r="AA79" s="300" t="str">
        <x:f>IFERROR(VLOOKUP(Q79,'Adoption Methodology'!$F$5:$H$12,3,FALSE),"Medium")</x:f>
        <x:v>Medium</x:v>
      </x:c>
      <x:c r="AB79" s="299" t="str">
        <x:f>IFERROR(VLOOKUP(A79,'Adoption Methodology'!$K$5:$L$14,2,FALSE),IFERROR(VLOOKUP(B79,'Adoption Methodology'!$N$5:$O$16,2,FALSE),"https://www.gartner.com/en/information-technology/technology-adoption-roadmaps"))</x:f>
        <x:v>https://www.deloitte.com/us/en/insights/topics/business-strategy-growth/2q-2025-cfo-signals-survey.html</x:v>
      </x:c>
      <x:c r="AC79" s="299" t="str">
        <x:f>IF(R79="","Modelled adoption maturity; see Adoption Methodology.",R79&amp;"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80">
      <x:c r="A80" s="299" t="str">
        <x:v>Decision Intelligence</x:v>
      </x:c>
      <x:c r="B80" s="299" t="str">
        <x:v>AI / Data / Analytics</x:v>
      </x:c>
      <x:c r="C80" s="300" t="str"/>
      <x:c r="D80" s="300" t="str"/>
      <x:c r="E80" s="300" t="str"/>
      <x:c r="F80" s="300" t="str"/>
      <x:c r="G80" s="300" t="str"/>
      <x:c r="H80" s="300" t="str"/>
      <x:c r="I80" s="300" t="str"/>
      <x:c r="J80" s="300" t="str"/>
      <x:c r="K80" s="300" t="str"/>
      <x:c r="L80" s="300" t="str">
        <x:v>PE</x:v>
      </x:c>
      <x:c r="M80" s="300" t="n">
        <x:f>COUNTIF(C80:L80,"IT")+COUNTIF(C80:L80,"PE")+COUNTIF(C80:L80,"TD")+COUNTIF(C80:L80,"SE")+COUNTIF(C80:L80,"PP")</x:f>
        <x:v>1</x:v>
      </x:c>
      <x:c r="N80" s="300" t="n">
        <x:f>IF(C80&lt;&gt;"",2016,IF(D80&lt;&gt;"",2017,IF(E80&lt;&gt;"",2018,IF(F80&lt;&gt;"",2019,IF(G80&lt;&gt;"",2020,IF(H80&lt;&gt;"",2021,IF(I80&lt;&gt;"",2022,IF(J80&lt;&gt;"",2023,IF(K80&lt;&gt;"",2024,IF(L80&lt;&gt;"",2025,""))))))))))</x:f>
        <x:v>2025</x:v>
      </x:c>
      <x:c r="O80" s="300" t="n">
        <x:f>IF(L80&lt;&gt;"",2025,IF(K80&lt;&gt;"",2024,IF(J80&lt;&gt;"",2023,IF(I80&lt;&gt;"",2022,IF(H80&lt;&gt;"",2021,IF(G80&lt;&gt;"",2020,IF(F80&lt;&gt;"",2019,IF(E80&lt;&gt;"",2018,IF(D80&lt;&gt;"",2017,IF(C80&lt;&gt;"",2016,""))))))))))</x:f>
        <x:v>2025</x:v>
      </x:c>
      <x:c r="P80" s="299" t="str">
        <x:v>Still on the 2025 flagship</x:v>
      </x:c>
      <x:c r="Q80" s="299" t="str">
        <x:v>Still emerging / evolving</x:v>
      </x:c>
      <x:c r="R80" s="299" t="str">
        <x:v>By 2026 the category is still evolving quickly; commercial adoption exists or is beginning, but maturity and durable ROI vary significantly.</x:v>
      </x:c>
      <x:c r="S80" s="299" t="str"/>
      <x:c r="T80" s="300" t="str">
        <x:f>IFERROR(INDEX($C80:$L80,1,MATCH($N80,$C$4:$L$4,0)),"")</x:f>
        <x:v>PE</x:v>
      </x:c>
      <x:c r="U80" s="300" t="n">
        <x:f>IFERROR(VLOOKUP(T80,'Adoption Methodology'!$F$18:$G$22,2,FALSE),"")</x:f>
        <x:v>2</x:v>
      </x:c>
      <x:c r="V80" s="299" t="str">
        <x:f>IFERROR(VLOOKUP(U80,'Adoption Methodology'!$A$5:$C$10,3,FALSE),"")</x:f>
        <x:v>≈5–15% of relevant market; credible deployments but limited scale</x:v>
      </x:c>
      <x:c r="W80" s="300" t="n">
        <x:f>IFERROR(VLOOKUP(Q80,'Adoption Methodology'!$F$5:$H$12,2,FALSE),"")</x:f>
        <x:v>2</x:v>
      </x:c>
      <x:c r="X80" s="299" t="str">
        <x:f>IFERROR(VLOOKUP(W80,'Adoption Methodology'!$A$5:$C$10,3,FALSE),"")</x:f>
        <x:v>≈5–15% of relevant market; credible deployments but limited scale</x:v>
      </x:c>
      <x:c r="Y80" s="300" t="n">
        <x:f>IF(OR(U80="",W80=""),"",W80-U80)</x:f>
        <x:v>0</x:v>
      </x:c>
      <x:c r="Z80" s="299" t="str">
        <x:f>IF(Y80="","",IF(Y80&gt;0,"Adoption increased",IF(Y80=0,"Broadly unchanged","Adoption maturity lower")))</x:f>
      </x:c>
      <x:c r="AA80" s="300" t="str">
        <x:f>IFERROR(VLOOKUP(Q80,'Adoption Methodology'!$F$5:$H$12,3,FALSE),"Medium")</x:f>
        <x:v>Medium</x:v>
      </x:c>
      <x:c r="AB80" s="299" t="str">
        <x:f>IFERROR(VLOOKUP(A80,'Adoption Methodology'!$K$5:$L$14,2,FALSE),IFERROR(VLOOKUP(B80,'Adoption Methodology'!$N$5:$O$16,2,FALSE),"https://www.gartner.com/en/information-technology/technology-adoption-roadmaps"))</x:f>
        <x:v>https://www.mckinsey.com/capabilities/quantumblack/our-insights/the-state-of-ai</x:v>
      </x:c>
      <x:c r="AC80" s="299" t="str">
        <x:f>IF(R80="","Modelled adoption maturity; see Adoption Methodology.",R80&amp;"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81">
      <x:c r="A81" s="299" t="str">
        <x:v>Deep Learning</x:v>
      </x:c>
      <x:c r="B81" s="299" t="str">
        <x:v>AI / Data / Analytics</x:v>
      </x:c>
      <x:c r="C81" s="300" t="str"/>
      <x:c r="D81" s="300" t="str">
        <x:v>PE</x:v>
      </x:c>
      <x:c r="E81" s="300" t="str"/>
      <x:c r="F81" s="300" t="str"/>
      <x:c r="G81" s="300" t="str"/>
      <x:c r="H81" s="300" t="str"/>
      <x:c r="I81" s="300" t="str"/>
      <x:c r="J81" s="300" t="str"/>
      <x:c r="K81" s="300" t="str"/>
      <x:c r="L81" s="300" t="str"/>
      <x:c r="M81" s="300" t="n">
        <x:f>COUNTIF(C81:L81,"IT")+COUNTIF(C81:L81,"PE")+COUNTIF(C81:L81,"TD")+COUNTIF(C81:L81,"SE")+COUNTIF(C81:L81,"PP")</x:f>
        <x:v>1</x:v>
      </x:c>
      <x:c r="N81" s="300" t="n">
        <x:f>IF(C81&lt;&gt;"",2016,IF(D81&lt;&gt;"",2017,IF(E81&lt;&gt;"",2018,IF(F81&lt;&gt;"",2019,IF(G81&lt;&gt;"",2020,IF(H81&lt;&gt;"",2021,IF(I81&lt;&gt;"",2022,IF(J81&lt;&gt;"",2023,IF(K81&lt;&gt;"",2024,IF(L81&lt;&gt;"",2025,""))))))))))</x:f>
        <x:v>2017</x:v>
      </x:c>
      <x:c r="O81" s="300" t="n">
        <x:f>IF(L81&lt;&gt;"",2025,IF(K81&lt;&gt;"",2024,IF(J81&lt;&gt;"",2023,IF(I81&lt;&gt;"",2022,IF(H81&lt;&gt;"",2021,IF(G81&lt;&gt;"",2020,IF(F81&lt;&gt;"",2019,IF(E81&lt;&gt;"",2018,IF(D81&lt;&gt;"",2017,IF(C81&lt;&gt;"",2016,""))))))))))</x:f>
        <x:v>2017</x:v>
      </x:c>
      <x:c r="P81" s="299" t="str">
        <x:v>Exited flagship; may continue on specialist Hype Cycles</x:v>
      </x:c>
      <x:c r="Q81" s="299" t="str">
        <x:v>Established / mainstream</x:v>
      </x:c>
      <x:c r="R81" s="299" t="str">
        <x:v>By 2026 this capability is commercially established or embedded in mainstream enterprise/consumer technology, even if the original Gartner label is no longer prominent.</x:v>
      </x:c>
      <x:c r="S81" s="299" t="str"/>
      <x:c r="T81" s="300" t="str">
        <x:f>IFERROR(INDEX($C81:$L81,1,MATCH($N81,$C$4:$L$4,0)),"")</x:f>
        <x:v>PE</x:v>
      </x:c>
      <x:c r="U81" s="300" t="n">
        <x:f>IFERROR(VLOOKUP(T81,'Adoption Methodology'!$F$18:$G$22,2,FALSE),"")</x:f>
        <x:v>2</x:v>
      </x:c>
      <x:c r="V81" s="299" t="str">
        <x:f>IFERROR(VLOOKUP(U81,'Adoption Methodology'!$A$5:$C$10,3,FALSE),"")</x:f>
        <x:v>≈5–15% of relevant market; credible deployments but limited scale</x:v>
      </x:c>
      <x:c r="W81" s="300" t="n">
        <x:f>IFERROR(VLOOKUP(Q81,'Adoption Methodology'!$F$5:$H$12,2,FALSE),"")</x:f>
        <x:v>5</x:v>
      </x:c>
      <x:c r="X81" s="299" t="str">
        <x:f>IFERROR(VLOOKUP(W81,'Adoption Methodology'!$A$5:$C$10,3,FALSE),"")</x:f>
        <x:v>&gt;60% in leading/addressable segments, or effectively a standard/default capability</x:v>
      </x:c>
      <x:c r="Y81" s="300" t="n">
        <x:f>IF(OR(U81="",W81=""),"",W81-U81)</x:f>
        <x:v>3</x:v>
      </x:c>
      <x:c r="Z81" s="299" t="str">
        <x:f>IF(Y81="","",IF(Y81&gt;0,"Adoption increased",IF(Y81=0,"Broadly unchanged","Adoption maturity lower")))</x:f>
        <x:v>Adoption increased</x:v>
      </x:c>
      <x:c r="AA81" s="300" t="str">
        <x:f>IFERROR(VLOOKUP(Q81,'Adoption Methodology'!$F$5:$H$12,3,FALSE),"Medium")</x:f>
        <x:v>High</x:v>
      </x:c>
      <x:c r="AB81" s="299" t="str">
        <x:f>IFERROR(VLOOKUP(A81,'Adoption Methodology'!$K$5:$L$14,2,FALSE),IFERROR(VLOOKUP(B81,'Adoption Methodology'!$N$5:$O$16,2,FALSE),"https://www.gartner.com/en/information-technology/technology-adoption-roadmaps"))</x:f>
        <x:v>https://www.mckinsey.com/capabilities/quantumblack/our-insights/the-state-of-ai</x:v>
      </x:c>
      <x:c r="AC81" s="299" t="str">
        <x:f>IF(R81="","Modelled adoption maturity; see Adoption Methodology.",R81&amp;"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82">
      <x:c r="A82" s="299" t="str">
        <x:v>Deep Neural Nets (Deep Learning)</x:v>
      </x:c>
      <x:c r="B82" s="299" t="str">
        <x:v>AI / Data / Analytics</x:v>
      </x:c>
      <x:c r="C82" s="300" t="str"/>
      <x:c r="D82" s="300" t="str"/>
      <x:c r="E82" s="300" t="str">
        <x:v>PE</x:v>
      </x:c>
      <x:c r="F82" s="300" t="str"/>
      <x:c r="G82" s="300" t="str"/>
      <x:c r="H82" s="300" t="str"/>
      <x:c r="I82" s="300" t="str"/>
      <x:c r="J82" s="300" t="str"/>
      <x:c r="K82" s="300" t="str"/>
      <x:c r="L82" s="300" t="str"/>
      <x:c r="M82" s="300" t="n">
        <x:f>COUNTIF(C82:L82,"IT")+COUNTIF(C82:L82,"PE")+COUNTIF(C82:L82,"TD")+COUNTIF(C82:L82,"SE")+COUNTIF(C82:L82,"PP")</x:f>
        <x:v>1</x:v>
      </x:c>
      <x:c r="N82" s="300" t="n">
        <x:f>IF(C82&lt;&gt;"",2016,IF(D82&lt;&gt;"",2017,IF(E82&lt;&gt;"",2018,IF(F82&lt;&gt;"",2019,IF(G82&lt;&gt;"",2020,IF(H82&lt;&gt;"",2021,IF(I82&lt;&gt;"",2022,IF(J82&lt;&gt;"",2023,IF(K82&lt;&gt;"",2024,IF(L82&lt;&gt;"",2025,""))))))))))</x:f>
        <x:v>2018</x:v>
      </x:c>
      <x:c r="O82" s="300" t="n">
        <x:f>IF(L82&lt;&gt;"",2025,IF(K82&lt;&gt;"",2024,IF(J82&lt;&gt;"",2023,IF(I82&lt;&gt;"",2022,IF(H82&lt;&gt;"",2021,IF(G82&lt;&gt;"",2020,IF(F82&lt;&gt;"",2019,IF(E82&lt;&gt;"",2018,IF(D82&lt;&gt;"",2017,IF(C82&lt;&gt;"",2016,""))))))))))</x:f>
        <x:v>2018</x:v>
      </x:c>
      <x:c r="P82" s="299" t="str">
        <x:v>Exited flagship; may continue on specialist Hype Cycles</x:v>
      </x:c>
      <x:c r="Q82" s="299" t="str">
        <x:v>Established / mainstream</x:v>
      </x:c>
      <x:c r="R82" s="299" t="str">
        <x:v>By 2026 this capability is commercially established or embedded in mainstream enterprise/consumer technology, even if the original Gartner label is no longer prominent.</x:v>
      </x:c>
      <x:c r="S82" s="299" t="str">
        <x:v>Equivalent family: deep learning.</x:v>
      </x:c>
      <x:c r="T82" s="300" t="str">
        <x:f>IFERROR(INDEX($C82:$L82,1,MATCH($N82,$C$4:$L$4,0)),"")</x:f>
        <x:v>PE</x:v>
      </x:c>
      <x:c r="U82" s="300" t="n">
        <x:f>IFERROR(VLOOKUP(T82,'Adoption Methodology'!$F$18:$G$22,2,FALSE),"")</x:f>
        <x:v>2</x:v>
      </x:c>
      <x:c r="V82" s="299" t="str">
        <x:f>IFERROR(VLOOKUP(U82,'Adoption Methodology'!$A$5:$C$10,3,FALSE),"")</x:f>
        <x:v>≈5–15% of relevant market; credible deployments but limited scale</x:v>
      </x:c>
      <x:c r="W82" s="300" t="n">
        <x:f>IFERROR(VLOOKUP(Q82,'Adoption Methodology'!$F$5:$H$12,2,FALSE),"")</x:f>
        <x:v>5</x:v>
      </x:c>
      <x:c r="X82" s="299" t="str">
        <x:f>IFERROR(VLOOKUP(W82,'Adoption Methodology'!$A$5:$C$10,3,FALSE),"")</x:f>
        <x:v>&gt;60% in leading/addressable segments, or effectively a standard/default capability</x:v>
      </x:c>
      <x:c r="Y82" s="300" t="n">
        <x:f>IF(OR(U82="",W82=""),"",W82-U82)</x:f>
        <x:v>3</x:v>
      </x:c>
      <x:c r="Z82" s="299" t="str">
        <x:f>IF(Y82="","",IF(Y82&gt;0,"Adoption increased",IF(Y82=0,"Broadly unchanged","Adoption maturity lower")))</x:f>
        <x:v>Adoption increased</x:v>
      </x:c>
      <x:c r="AA82" s="300" t="str">
        <x:f>IFERROR(VLOOKUP(Q82,'Adoption Methodology'!$F$5:$H$12,3,FALSE),"Medium")</x:f>
        <x:v>High</x:v>
      </x:c>
      <x:c r="AB82" s="299" t="str">
        <x:f>IFERROR(VLOOKUP(A82,'Adoption Methodology'!$K$5:$L$14,2,FALSE),IFERROR(VLOOKUP(B82,'Adoption Methodology'!$N$5:$O$16,2,FALSE),"https://www.gartner.com/en/information-technology/technology-adoption-roadmaps"))</x:f>
        <x:v>https://www.mckinsey.com/capabilities/quantumblack/our-insights/the-state-of-ai</x:v>
      </x:c>
      <x:c r="AC82" s="299" t="str">
        <x:f>IF(R82="","Modelled adoption maturity; see Adoption Methodology.",R82&amp;"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83">
      <x:c r="A83" s="299" t="str">
        <x:v>Deep Neural Network ASICs</x:v>
      </x:c>
      <x:c r="B83" s="299" t="str">
        <x:v>Connectivity / Edge / IoT</x:v>
      </x:c>
      <x:c r="C83" s="300" t="str"/>
      <x:c r="D83" s="300" t="str"/>
      <x:c r="E83" s="300" t="str">
        <x:v>PE</x:v>
      </x:c>
      <x:c r="F83" s="300" t="str"/>
      <x:c r="G83" s="300" t="str"/>
      <x:c r="H83" s="300" t="str"/>
      <x:c r="I83" s="300" t="str"/>
      <x:c r="J83" s="300" t="str"/>
      <x:c r="K83" s="300" t="str"/>
      <x:c r="L83" s="300" t="str"/>
      <x:c r="M83" s="300" t="n">
        <x:f>COUNTIF(C83:L83,"IT")+COUNTIF(C83:L83,"PE")+COUNTIF(C83:L83,"TD")+COUNTIF(C83:L83,"SE")+COUNTIF(C83:L83,"PP")</x:f>
        <x:v>1</x:v>
      </x:c>
      <x:c r="N83" s="300" t="n">
        <x:f>IF(C83&lt;&gt;"",2016,IF(D83&lt;&gt;"",2017,IF(E83&lt;&gt;"",2018,IF(F83&lt;&gt;"",2019,IF(G83&lt;&gt;"",2020,IF(H83&lt;&gt;"",2021,IF(I83&lt;&gt;"",2022,IF(J83&lt;&gt;"",2023,IF(K83&lt;&gt;"",2024,IF(L83&lt;&gt;"",2025,""))))))))))</x:f>
        <x:v>2018</x:v>
      </x:c>
      <x:c r="O83" s="300" t="n">
        <x:f>IF(L83&lt;&gt;"",2025,IF(K83&lt;&gt;"",2024,IF(J83&lt;&gt;"",2023,IF(I83&lt;&gt;"",2022,IF(H83&lt;&gt;"",2021,IF(G83&lt;&gt;"",2020,IF(F83&lt;&gt;"",2019,IF(E83&lt;&gt;"",2018,IF(D83&lt;&gt;"",2017,IF(C83&lt;&gt;"",2016,""))))))))))</x:f>
        <x:v>2018</x:v>
      </x:c>
      <x:c r="P83" s="299" t="str">
        <x:v>Exited flagship; may continue on specialist Hype Cycles</x:v>
      </x:c>
      <x:c r="Q83" s="299" t="str">
        <x:v>Exited flagship / specialist</x:v>
      </x:c>
      <x:c r="R83" s="299" t="str">
        <x:v>The label left the flagship cycle and is now best viewed as specialist, absorbed into adjacent categories, or lower-profile rather than a simple success/failure.</x:v>
      </x:c>
      <x:c r="S83" s="299" t="str"/>
      <x:c r="T83" s="300" t="str">
        <x:f>IFERROR(INDEX($C83:$L83,1,MATCH($N83,$C$4:$L$4,0)),"")</x:f>
        <x:v>PE</x:v>
      </x:c>
      <x:c r="U83" s="300" t="n">
        <x:f>IFERROR(VLOOKUP(T83,'Adoption Methodology'!$F$18:$G$22,2,FALSE),"")</x:f>
        <x:v>2</x:v>
      </x:c>
      <x:c r="V83" s="299" t="str">
        <x:f>IFERROR(VLOOKUP(U83,'Adoption Methodology'!$A$5:$C$10,3,FALSE),"")</x:f>
        <x:v>≈5–15% of relevant market; credible deployments but limited scale</x:v>
      </x:c>
      <x:c r="W83" s="300" t="n">
        <x:f>IFERROR(VLOOKUP(Q83,'Adoption Methodology'!$F$5:$H$12,2,FALSE),"")</x:f>
        <x:v>3</x:v>
      </x:c>
      <x:c r="X83" s="299" t="str">
        <x:f>IFERROR(VLOOKUP(W83,'Adoption Methodology'!$A$5:$C$10,3,FALSE),"")</x:f>
        <x:v>≈15–35% of relevant market, or capability absorbed into successor platforms</x:v>
      </x:c>
      <x:c r="Y83" s="300" t="n">
        <x:f>IF(OR(U83="",W83=""),"",W83-U83)</x:f>
        <x:v>1</x:v>
      </x:c>
      <x:c r="Z83" s="299" t="str">
        <x:f>IF(Y83="","",IF(Y83&gt;0,"Adoption increased",IF(Y83=0,"Broadly unchanged","Adoption maturity lower")))</x:f>
        <x:v>Adoption increased</x:v>
      </x:c>
      <x:c r="AA83" s="300" t="str">
        <x:f>IFERROR(VLOOKUP(Q83,'Adoption Methodology'!$F$5:$H$12,3,FALSE),"Medium")</x:f>
        <x:v>Medium</x:v>
      </x:c>
      <x:c r="AB83" s="299" t="str">
        <x:f>IFERROR(VLOOKUP(A83,'Adoption Methodology'!$K$5:$L$14,2,FALSE),IFERROR(VLOOKUP(B83,'Adoption Methodology'!$N$5:$O$16,2,FALSE),"https://www.gartner.com/en/information-technology/technology-adoption-roadmaps"))</x:f>
        <x:v>https://www.gsma.com/about-us/regions/europe/gsma_resources/the-mobile-economy-2026/</x:v>
      </x:c>
      <x:c r="AC83" s="299" t="str">
        <x:f>IF(R83="","Modelled adoption maturity; see Adoption Methodology.",R83&amp;"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84">
      <x:c r="A84" s="299" t="str">
        <x:v>Deep Reinforcement Learning</x:v>
      </x:c>
      <x:c r="B84" s="299" t="str">
        <x:v>AI / Data / Analytics</x:v>
      </x:c>
      <x:c r="C84" s="300" t="str"/>
      <x:c r="D84" s="300" t="str">
        <x:v>IT</x:v>
      </x:c>
      <x:c r="E84" s="300" t="str"/>
      <x:c r="F84" s="300" t="str"/>
      <x:c r="G84" s="300" t="str"/>
      <x:c r="H84" s="300" t="str"/>
      <x:c r="I84" s="300" t="str"/>
      <x:c r="J84" s="300" t="str"/>
      <x:c r="K84" s="300" t="str"/>
      <x:c r="L84" s="300" t="str"/>
      <x:c r="M84" s="300" t="n">
        <x:f>COUNTIF(C84:L84,"IT")+COUNTIF(C84:L84,"PE")+COUNTIF(C84:L84,"TD")+COUNTIF(C84:L84,"SE")+COUNTIF(C84:L84,"PP")</x:f>
        <x:v>1</x:v>
      </x:c>
      <x:c r="N84" s="300" t="n">
        <x:f>IF(C84&lt;&gt;"",2016,IF(D84&lt;&gt;"",2017,IF(E84&lt;&gt;"",2018,IF(F84&lt;&gt;"",2019,IF(G84&lt;&gt;"",2020,IF(H84&lt;&gt;"",2021,IF(I84&lt;&gt;"",2022,IF(J84&lt;&gt;"",2023,IF(K84&lt;&gt;"",2024,IF(L84&lt;&gt;"",2025,""))))))))))</x:f>
        <x:v>2017</x:v>
      </x:c>
      <x:c r="O84" s="300" t="n">
        <x:f>IF(L84&lt;&gt;"",2025,IF(K84&lt;&gt;"",2024,IF(J84&lt;&gt;"",2023,IF(I84&lt;&gt;"",2022,IF(H84&lt;&gt;"",2021,IF(G84&lt;&gt;"",2020,IF(F84&lt;&gt;"",2019,IF(E84&lt;&gt;"",2018,IF(D84&lt;&gt;"",2017,IF(C84&lt;&gt;"",2016,""))))))))))</x:f>
        <x:v>2017</x:v>
      </x:c>
      <x:c r="P84" s="299" t="str">
        <x:v>Exited flagship; may continue on specialist Hype Cycles</x:v>
      </x:c>
      <x:c r="Q84" s="299" t="str">
        <x:v>Exited flagship / specialist</x:v>
      </x:c>
      <x:c r="R84" s="299" t="str">
        <x:v>The label left the flagship cycle and is now best viewed as specialist, absorbed into adjacent categories, or lower-profile rather than a simple success/failure.</x:v>
      </x:c>
      <x:c r="S84" s="299" t="str"/>
      <x:c r="T84" s="300" t="str">
        <x:f>IFERROR(INDEX($C84:$L84,1,MATCH($N84,$C$4:$L$4,0)),"")</x:f>
        <x:v>IT</x:v>
      </x:c>
      <x:c r="U84" s="300" t="n">
        <x:f>IFERROR(VLOOKUP(T84,'Adoption Methodology'!$F$18:$G$22,2,FALSE),"")</x:f>
        <x:v>1</x:v>
      </x:c>
      <x:c r="V84" s="299" t="str">
        <x:f>IFERROR(VLOOKUP(U84,'Adoption Methodology'!$A$5:$C$10,3,FALSE),"")</x:f>
        <x:v>≈1–5% of relevant market; prototypes, pilots or very early deployments</x:v>
      </x:c>
      <x:c r="W84" s="300" t="n">
        <x:f>IFERROR(VLOOKUP(Q84,'Adoption Methodology'!$F$5:$H$12,2,FALSE),"")</x:f>
        <x:v>3</x:v>
      </x:c>
      <x:c r="X84" s="299" t="str">
        <x:f>IFERROR(VLOOKUP(W84,'Adoption Methodology'!$A$5:$C$10,3,FALSE),"")</x:f>
        <x:v>≈15–35% of relevant market, or capability absorbed into successor platforms</x:v>
      </x:c>
      <x:c r="Y84" s="300" t="n">
        <x:f>IF(OR(U84="",W84=""),"",W84-U84)</x:f>
        <x:v>2</x:v>
      </x:c>
      <x:c r="Z84" s="299" t="str">
        <x:f>IF(Y84="","",IF(Y84&gt;0,"Adoption increased",IF(Y84=0,"Broadly unchanged","Adoption maturity lower")))</x:f>
        <x:v>Adoption increased</x:v>
      </x:c>
      <x:c r="AA84" s="300" t="str">
        <x:f>IFERROR(VLOOKUP(Q84,'Adoption Methodology'!$F$5:$H$12,3,FALSE),"Medium")</x:f>
        <x:v>Medium</x:v>
      </x:c>
      <x:c r="AB84" s="299" t="str">
        <x:f>IFERROR(VLOOKUP(A84,'Adoption Methodology'!$K$5:$L$14,2,FALSE),IFERROR(VLOOKUP(B84,'Adoption Methodology'!$N$5:$O$16,2,FALSE),"https://www.gartner.com/en/information-technology/technology-adoption-roadmaps"))</x:f>
        <x:v>https://www.mckinsey.com/capabilities/quantumblack/our-insights/the-state-of-ai</x:v>
      </x:c>
      <x:c r="AC84" s="299" t="str">
        <x:f>IF(R84="","Modelled adoption maturity; see Adoption Methodology.",R84&amp;"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85">
      <x:c r="A85" s="299" t="str">
        <x:v>Differential Privacy</x:v>
      </x:c>
      <x:c r="B85" s="299" t="str">
        <x:v>Security / Privacy</x:v>
      </x:c>
      <x:c r="C85" s="300" t="str"/>
      <x:c r="D85" s="300" t="str"/>
      <x:c r="E85" s="300" t="str"/>
      <x:c r="F85" s="300" t="str"/>
      <x:c r="G85" s="300" t="str">
        <x:v>IT</x:v>
      </x:c>
      <x:c r="H85" s="300" t="str"/>
      <x:c r="I85" s="300" t="str"/>
      <x:c r="J85" s="300" t="str"/>
      <x:c r="K85" s="300" t="str"/>
      <x:c r="L85" s="300" t="str"/>
      <x:c r="M85" s="300" t="n">
        <x:f>COUNTIF(C85:L85,"IT")+COUNTIF(C85:L85,"PE")+COUNTIF(C85:L85,"TD")+COUNTIF(C85:L85,"SE")+COUNTIF(C85:L85,"PP")</x:f>
        <x:v>1</x:v>
      </x:c>
      <x:c r="N85" s="300" t="n">
        <x:f>IF(C85&lt;&gt;"",2016,IF(D85&lt;&gt;"",2017,IF(E85&lt;&gt;"",2018,IF(F85&lt;&gt;"",2019,IF(G85&lt;&gt;"",2020,IF(H85&lt;&gt;"",2021,IF(I85&lt;&gt;"",2022,IF(J85&lt;&gt;"",2023,IF(K85&lt;&gt;"",2024,IF(L85&lt;&gt;"",2025,""))))))))))</x:f>
        <x:v>2020</x:v>
      </x:c>
      <x:c r="O85" s="300" t="n">
        <x:f>IF(L85&lt;&gt;"",2025,IF(K85&lt;&gt;"",2024,IF(J85&lt;&gt;"",2023,IF(I85&lt;&gt;"",2022,IF(H85&lt;&gt;"",2021,IF(G85&lt;&gt;"",2020,IF(F85&lt;&gt;"",2019,IF(E85&lt;&gt;"",2018,IF(D85&lt;&gt;"",2017,IF(C85&lt;&gt;"",2016,""))))))))))</x:f>
        <x:v>2020</x:v>
      </x:c>
      <x:c r="P85" s="299" t="str">
        <x:v>Exited flagship; may continue on specialist Hype Cycles</x:v>
      </x:c>
      <x:c r="Q85" s="299" t="str">
        <x:v>Established / mainstream</x:v>
      </x:c>
      <x:c r="R85" s="299" t="str">
        <x:v>By 2026 this capability is commercially established or embedded in mainstream enterprise/consumer technology, even if the original Gartner label is no longer prominent.</x:v>
      </x:c>
      <x:c r="S85" s="299" t="str"/>
      <x:c r="T85" s="300" t="str">
        <x:f>IFERROR(INDEX($C85:$L85,1,MATCH($N85,$C$4:$L$4,0)),"")</x:f>
        <x:v>IT</x:v>
      </x:c>
      <x:c r="U85" s="300" t="n">
        <x:f>IFERROR(VLOOKUP(T85,'Adoption Methodology'!$F$18:$G$22,2,FALSE),"")</x:f>
        <x:v>1</x:v>
      </x:c>
      <x:c r="V85" s="299" t="str">
        <x:f>IFERROR(VLOOKUP(U85,'Adoption Methodology'!$A$5:$C$10,3,FALSE),"")</x:f>
        <x:v>≈1–5% of relevant market; prototypes, pilots or very early deployments</x:v>
      </x:c>
      <x:c r="W85" s="300" t="n">
        <x:f>IFERROR(VLOOKUP(Q85,'Adoption Methodology'!$F$5:$H$12,2,FALSE),"")</x:f>
        <x:v>5</x:v>
      </x:c>
      <x:c r="X85" s="299" t="str">
        <x:f>IFERROR(VLOOKUP(W85,'Adoption Methodology'!$A$5:$C$10,3,FALSE),"")</x:f>
        <x:v>&gt;60% in leading/addressable segments, or effectively a standard/default capability</x:v>
      </x:c>
      <x:c r="Y85" s="300" t="n">
        <x:f>IF(OR(U85="",W85=""),"",W85-U85)</x:f>
        <x:v>4</x:v>
      </x:c>
      <x:c r="Z85" s="299" t="str">
        <x:f>IF(Y85="","",IF(Y85&gt;0,"Adoption increased",IF(Y85=0,"Broadly unchanged","Adoption maturity lower")))</x:f>
        <x:v>Adoption increased</x:v>
      </x:c>
      <x:c r="AA85" s="300" t="str">
        <x:f>IFERROR(VLOOKUP(Q85,'Adoption Methodology'!$F$5:$H$12,3,FALSE),"Medium")</x:f>
        <x:v>High</x:v>
      </x:c>
      <x:c r="AB85" s="299" t="str">
        <x:f>IFERROR(VLOOKUP(A85,'Adoption Methodology'!$K$5:$L$14,2,FALSE),IFERROR(VLOOKUP(B85,'Adoption Methodology'!$N$5:$O$16,2,FALSE),"https://www.gartner.com/en/information-technology/technology-adoption-roadmaps"))</x:f>
        <x:v>https://www.gartner.com/en/information-technology/technology-adoption-roadmaps</x:v>
      </x:c>
      <x:c r="AC85" s="299" t="str">
        <x:f>IF(R85="","Modelled adoption maturity; see Adoption Methodology.",R85&amp;"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86">
      <x:c r="A86" s="299" t="str">
        <x:v>Digital Humans</x:v>
      </x:c>
      <x:c r="B86" s="299" t="str">
        <x:v>Human Augmentation / Future of Work</x:v>
      </x:c>
      <x:c r="C86" s="300" t="str"/>
      <x:c r="D86" s="300" t="str"/>
      <x:c r="E86" s="300" t="str"/>
      <x:c r="F86" s="300" t="str"/>
      <x:c r="G86" s="300" t="str"/>
      <x:c r="H86" s="300" t="str">
        <x:v>IT</x:v>
      </x:c>
      <x:c r="I86" s="300" t="str">
        <x:v>IT</x:v>
      </x:c>
      <x:c r="J86" s="300" t="str"/>
      <x:c r="K86" s="300" t="str"/>
      <x:c r="L86" s="300" t="str"/>
      <x:c r="M86" s="300" t="n">
        <x:f>COUNTIF(C86:L86,"IT")+COUNTIF(C86:L86,"PE")+COUNTIF(C86:L86,"TD")+COUNTIF(C86:L86,"SE")+COUNTIF(C86:L86,"PP")</x:f>
        <x:v>2</x:v>
      </x:c>
      <x:c r="N86" s="300" t="n">
        <x:f>IF(C86&lt;&gt;"",2016,IF(D86&lt;&gt;"",2017,IF(E86&lt;&gt;"",2018,IF(F86&lt;&gt;"",2019,IF(G86&lt;&gt;"",2020,IF(H86&lt;&gt;"",2021,IF(I86&lt;&gt;"",2022,IF(J86&lt;&gt;"",2023,IF(K86&lt;&gt;"",2024,IF(L86&lt;&gt;"",2025,""))))))))))</x:f>
        <x:v>2021</x:v>
      </x:c>
      <x:c r="O86" s="300" t="n">
        <x:f>IF(L86&lt;&gt;"",2025,IF(K86&lt;&gt;"",2024,IF(J86&lt;&gt;"",2023,IF(I86&lt;&gt;"",2022,IF(H86&lt;&gt;"",2021,IF(G86&lt;&gt;"",2020,IF(F86&lt;&gt;"",2019,IF(E86&lt;&gt;"",2018,IF(D86&lt;&gt;"",2017,IF(C86&lt;&gt;"",2016,""))))))))))</x:f>
        <x:v>2022</x:v>
      </x:c>
      <x:c r="P86" s="299" t="str">
        <x:v>Exited flagship; may continue on specialist Hype Cycles</x:v>
      </x:c>
      <x:c r="Q86" s="299" t="str">
        <x:v>Established / specialist</x:v>
      </x:c>
      <x:c r="R86" s="299" t="str">
        <x:v>By 2026 there are credible production uses and vendors, but adoption is concentrated in particular workloads, industries or architectures rather than universal.</x:v>
      </x:c>
      <x:c r="S86" s="299" t="str"/>
      <x:c r="T86" s="300" t="str">
        <x:f>IFERROR(INDEX($C86:$L86,1,MATCH($N86,$C$4:$L$4,0)),"")</x:f>
        <x:v>IT</x:v>
      </x:c>
      <x:c r="U86" s="300" t="n">
        <x:f>IFERROR(VLOOKUP(T86,'Adoption Methodology'!$F$18:$G$22,2,FALSE),"")</x:f>
        <x:v>1</x:v>
      </x:c>
      <x:c r="V86" s="299" t="str">
        <x:f>IFERROR(VLOOKUP(U86,'Adoption Methodology'!$A$5:$C$10,3,FALSE),"")</x:f>
        <x:v>≈1–5% of relevant market; prototypes, pilots or very early deployments</x:v>
      </x:c>
      <x:c r="W86" s="300" t="n">
        <x:f>IFERROR(VLOOKUP(Q86,'Adoption Methodology'!$F$5:$H$12,2,FALSE),"")</x:f>
        <x:v>4</x:v>
      </x:c>
      <x:c r="X86" s="299" t="str">
        <x:f>IFERROR(VLOOKUP(W86,'Adoption Methodology'!$A$5:$C$10,3,FALSE),"")</x:f>
        <x:v>≈35–60% within the addressable segment; mature specialist use</x:v>
      </x:c>
      <x:c r="Y86" s="300" t="n">
        <x:f>IF(OR(U86="",W86=""),"",W86-U86)</x:f>
        <x:v>3</x:v>
      </x:c>
      <x:c r="Z86" s="299" t="str">
        <x:f>IF(Y86="","",IF(Y86&gt;0,"Adoption increased",IF(Y86=0,"Broadly unchanged","Adoption maturity lower")))</x:f>
        <x:v>Adoption increased</x:v>
      </x:c>
      <x:c r="AA86" s="300" t="str">
        <x:f>IFERROR(VLOOKUP(Q86,'Adoption Methodology'!$F$5:$H$12,3,FALSE),"Medium")</x:f>
        <x:v>High</x:v>
      </x:c>
      <x:c r="AB86" s="299" t="str">
        <x:f>IFERROR(VLOOKUP(A86,'Adoption Methodology'!$K$5:$L$14,2,FALSE),IFERROR(VLOOKUP(B86,'Adoption Methodology'!$N$5:$O$16,2,FALSE),"https://www.gartner.com/en/information-technology/technology-adoption-roadmaps"))</x:f>
        <x:v>https://www.gartner.com/en/information-technology/technology-adoption-roadmaps</x:v>
      </x:c>
      <x:c r="AC86" s="299" t="str">
        <x:f>IF(R86="","Modelled adoption maturity; see Adoption Methodology.",R86&amp;"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87">
      <x:c r="A87" s="299" t="str">
        <x:v>Digital Immune System</x:v>
      </x:c>
      <x:c r="B87" s="299" t="str">
        <x:v>Business / Emerging Technology</x:v>
      </x:c>
      <x:c r="C87" s="300" t="str"/>
      <x:c r="D87" s="300" t="str"/>
      <x:c r="E87" s="300" t="str"/>
      <x:c r="F87" s="300" t="str"/>
      <x:c r="G87" s="300" t="str"/>
      <x:c r="H87" s="300" t="str"/>
      <x:c r="I87" s="300" t="str"/>
      <x:c r="J87" s="300" t="str"/>
      <x:c r="K87" s="300" t="str">
        <x:v>IT</x:v>
      </x:c>
      <x:c r="L87" s="300" t="str">
        <x:v>PE</x:v>
      </x:c>
      <x:c r="M87" s="300" t="n">
        <x:f>COUNTIF(C87:L87,"IT")+COUNTIF(C87:L87,"PE")+COUNTIF(C87:L87,"TD")+COUNTIF(C87:L87,"SE")+COUNTIF(C87:L87,"PP")</x:f>
        <x:v>2</x:v>
      </x:c>
      <x:c r="N87" s="300" t="n">
        <x:f>IF(C87&lt;&gt;"",2016,IF(D87&lt;&gt;"",2017,IF(E87&lt;&gt;"",2018,IF(F87&lt;&gt;"",2019,IF(G87&lt;&gt;"",2020,IF(H87&lt;&gt;"",2021,IF(I87&lt;&gt;"",2022,IF(J87&lt;&gt;"",2023,IF(K87&lt;&gt;"",2024,IF(L87&lt;&gt;"",2025,""))))))))))</x:f>
        <x:v>2024</x:v>
      </x:c>
      <x:c r="O87" s="300" t="n">
        <x:f>IF(L87&lt;&gt;"",2025,IF(K87&lt;&gt;"",2024,IF(J87&lt;&gt;"",2023,IF(I87&lt;&gt;"",2022,IF(H87&lt;&gt;"",2021,IF(G87&lt;&gt;"",2020,IF(F87&lt;&gt;"",2019,IF(E87&lt;&gt;"",2018,IF(D87&lt;&gt;"",2017,IF(C87&lt;&gt;"",2016,""))))))))))</x:f>
        <x:v>2025</x:v>
      </x:c>
      <x:c r="P87" s="299" t="str">
        <x:v>Still on the 2025 flagship</x:v>
      </x:c>
      <x:c r="Q87" s="299" t="str">
        <x:v>Established / mainstream</x:v>
      </x:c>
      <x:c r="R87" s="299" t="str">
        <x:v>By 2026 this capability is commercially established or embedded in mainstream enterprise/consumer technology, even if the original Gartner label is no longer prominent.</x:v>
      </x:c>
      <x:c r="S87" s="299" t="str"/>
      <x:c r="T87" s="300" t="str">
        <x:f>IFERROR(INDEX($C87:$L87,1,MATCH($N87,$C$4:$L$4,0)),"")</x:f>
        <x:v>IT</x:v>
      </x:c>
      <x:c r="U87" s="300" t="n">
        <x:f>IFERROR(VLOOKUP(T87,'Adoption Methodology'!$F$18:$G$22,2,FALSE),"")</x:f>
        <x:v>1</x:v>
      </x:c>
      <x:c r="V87" s="299" t="str">
        <x:f>IFERROR(VLOOKUP(U87,'Adoption Methodology'!$A$5:$C$10,3,FALSE),"")</x:f>
        <x:v>≈1–5% of relevant market; prototypes, pilots or very early deployments</x:v>
      </x:c>
      <x:c r="W87" s="300" t="n">
        <x:f>IFERROR(VLOOKUP(Q87,'Adoption Methodology'!$F$5:$H$12,2,FALSE),"")</x:f>
        <x:v>5</x:v>
      </x:c>
      <x:c r="X87" s="299" t="str">
        <x:f>IFERROR(VLOOKUP(W87,'Adoption Methodology'!$A$5:$C$10,3,FALSE),"")</x:f>
        <x:v>&gt;60% in leading/addressable segments, or effectively a standard/default capability</x:v>
      </x:c>
      <x:c r="Y87" s="300" t="n">
        <x:f>IF(OR(U87="",W87=""),"",W87-U87)</x:f>
        <x:v>4</x:v>
      </x:c>
      <x:c r="Z87" s="299" t="str">
        <x:f>IF(Y87="","",IF(Y87&gt;0,"Adoption increased",IF(Y87=0,"Broadly unchanged","Adoption maturity lower")))</x:f>
        <x:v>Adoption increased</x:v>
      </x:c>
      <x:c r="AA87" s="300" t="str">
        <x:f>IFERROR(VLOOKUP(Q87,'Adoption Methodology'!$F$5:$H$12,3,FALSE),"Medium")</x:f>
        <x:v>High</x:v>
      </x:c>
      <x:c r="AB87" s="299" t="str">
        <x:f>IFERROR(VLOOKUP(A87,'Adoption Methodology'!$K$5:$L$14,2,FALSE),IFERROR(VLOOKUP(B87,'Adoption Methodology'!$N$5:$O$16,2,FALSE),"https://www.gartner.com/en/information-technology/technology-adoption-roadmaps"))</x:f>
        <x:v>https://www.gartner.com/en/information-technology/technology-adoption-roadmaps</x:v>
      </x:c>
      <x:c r="AC87" s="299" t="str">
        <x:f>IF(R87="","Modelled adoption maturity; see Adoption Methodology.",R87&amp;"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88">
      <x:c r="A88" s="299" t="str">
        <x:v>Digital Platform Conductor Tools</x:v>
      </x:c>
      <x:c r="B88" s="299" t="str">
        <x:v>Business / Emerging Technology</x:v>
      </x:c>
      <x:c r="C88" s="300" t="str"/>
      <x:c r="D88" s="300" t="str"/>
      <x:c r="E88" s="300" t="str"/>
      <x:c r="F88" s="300" t="str"/>
      <x:c r="G88" s="300" t="str"/>
      <x:c r="H88" s="300" t="str">
        <x:v>IT</x:v>
      </x:c>
      <x:c r="I88" s="300" t="str"/>
      <x:c r="J88" s="300" t="str"/>
      <x:c r="K88" s="300" t="str"/>
      <x:c r="L88" s="300" t="str"/>
      <x:c r="M88" s="300" t="n">
        <x:f>COUNTIF(C88:L88,"IT")+COUNTIF(C88:L88,"PE")+COUNTIF(C88:L88,"TD")+COUNTIF(C88:L88,"SE")+COUNTIF(C88:L88,"PP")</x:f>
        <x:v>1</x:v>
      </x:c>
      <x:c r="N88" s="300" t="n">
        <x:f>IF(C88&lt;&gt;"",2016,IF(D88&lt;&gt;"",2017,IF(E88&lt;&gt;"",2018,IF(F88&lt;&gt;"",2019,IF(G88&lt;&gt;"",2020,IF(H88&lt;&gt;"",2021,IF(I88&lt;&gt;"",2022,IF(J88&lt;&gt;"",2023,IF(K88&lt;&gt;"",2024,IF(L88&lt;&gt;"",2025,""))))))))))</x:f>
        <x:v>2021</x:v>
      </x:c>
      <x:c r="O88" s="300" t="n">
        <x:f>IF(L88&lt;&gt;"",2025,IF(K88&lt;&gt;"",2024,IF(J88&lt;&gt;"",2023,IF(I88&lt;&gt;"",2022,IF(H88&lt;&gt;"",2021,IF(G88&lt;&gt;"",2020,IF(F88&lt;&gt;"",2019,IF(E88&lt;&gt;"",2018,IF(D88&lt;&gt;"",2017,IF(C88&lt;&gt;"",2016,""))))))))))</x:f>
        <x:v>2021</x:v>
      </x:c>
      <x:c r="P88" s="299" t="str">
        <x:v>Exited flagship; may continue on specialist Hype Cycles</x:v>
      </x:c>
      <x:c r="Q88" s="299" t="str">
        <x:v>Exited flagship / evolving</x:v>
      </x:c>
      <x:c r="R88" s="299" t="str">
        <x:v>The label left the flagship cycle; Gartner’s flagship is deliberately dynamic, so exit should not be read as failure without checking specialist Hype Cycles.</x:v>
      </x:c>
      <x:c r="S88" s="299" t="str"/>
      <x:c r="T88" s="300" t="str">
        <x:f>IFERROR(INDEX($C88:$L88,1,MATCH($N88,$C$4:$L$4,0)),"")</x:f>
        <x:v>IT</x:v>
      </x:c>
      <x:c r="U88" s="300" t="n">
        <x:f>IFERROR(VLOOKUP(T88,'Adoption Methodology'!$F$18:$G$22,2,FALSE),"")</x:f>
        <x:v>1</x:v>
      </x:c>
      <x:c r="V88" s="299" t="str">
        <x:f>IFERROR(VLOOKUP(U88,'Adoption Methodology'!$A$5:$C$10,3,FALSE),"")</x:f>
        <x:v>≈1–5% of relevant market; prototypes, pilots or very early deployments</x:v>
      </x:c>
      <x:c r="W88" s="300" t="n">
        <x:f>IFERROR(VLOOKUP(Q88,'Adoption Methodology'!$F$5:$H$12,2,FALSE),"")</x:f>
        <x:v>2</x:v>
      </x:c>
      <x:c r="X88" s="299" t="str">
        <x:f>IFERROR(VLOOKUP(W88,'Adoption Methodology'!$A$5:$C$10,3,FALSE),"")</x:f>
        <x:v>≈5–15% of relevant market; credible deployments but limited scale</x:v>
      </x:c>
      <x:c r="Y88" s="300" t="n">
        <x:f>IF(OR(U88="",W88=""),"",W88-U88)</x:f>
        <x:v>1</x:v>
      </x:c>
      <x:c r="Z88" s="299" t="str">
        <x:f>IF(Y88="","",IF(Y88&gt;0,"Adoption increased",IF(Y88=0,"Broadly unchanged","Adoption maturity lower")))</x:f>
        <x:v>Adoption increased</x:v>
      </x:c>
      <x:c r="AA88" s="300" t="str">
        <x:f>IFERROR(VLOOKUP(Q88,'Adoption Methodology'!$F$5:$H$12,3,FALSE),"Medium")</x:f>
        <x:v>Medium-Low</x:v>
      </x:c>
      <x:c r="AB88" s="299" t="str">
        <x:f>IFERROR(VLOOKUP(A88,'Adoption Methodology'!$K$5:$L$14,2,FALSE),IFERROR(VLOOKUP(B88,'Adoption Methodology'!$N$5:$O$16,2,FALSE),"https://www.gartner.com/en/information-technology/technology-adoption-roadmaps"))</x:f>
        <x:v>https://www.gartner.com/en/information-technology/technology-adoption-roadmaps</x:v>
      </x:c>
      <x:c r="AC88" s="299" t="str">
        <x:f>IF(R88="","Modelled adoption maturity; see Adoption Methodology.",R88&amp;"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89">
      <x:c r="A89" s="299" t="str">
        <x:v>Digital Twin</x:v>
      </x:c>
      <x:c r="B89" s="299" t="str">
        <x:v>Business / Emerging Technology</x:v>
      </x:c>
      <x:c r="C89" s="300" t="str"/>
      <x:c r="D89" s="300" t="str">
        <x:v>IT</x:v>
      </x:c>
      <x:c r="E89" s="300" t="str">
        <x:v>PE</x:v>
      </x:c>
      <x:c r="F89" s="300" t="str"/>
      <x:c r="G89" s="300" t="str"/>
      <x:c r="H89" s="300" t="str"/>
      <x:c r="I89" s="300" t="str"/>
      <x:c r="J89" s="300" t="str"/>
      <x:c r="K89" s="300" t="str"/>
      <x:c r="L89" s="300" t="str"/>
      <x:c r="M89" s="300" t="n">
        <x:f>COUNTIF(C89:L89,"IT")+COUNTIF(C89:L89,"PE")+COUNTIF(C89:L89,"TD")+COUNTIF(C89:L89,"SE")+COUNTIF(C89:L89,"PP")</x:f>
        <x:v>2</x:v>
      </x:c>
      <x:c r="N89" s="300" t="n">
        <x:f>IF(C89&lt;&gt;"",2016,IF(D89&lt;&gt;"",2017,IF(E89&lt;&gt;"",2018,IF(F89&lt;&gt;"",2019,IF(G89&lt;&gt;"",2020,IF(H89&lt;&gt;"",2021,IF(I89&lt;&gt;"",2022,IF(J89&lt;&gt;"",2023,IF(K89&lt;&gt;"",2024,IF(L89&lt;&gt;"",2025,""))))))))))</x:f>
        <x:v>2017</x:v>
      </x:c>
      <x:c r="O89" s="300" t="n">
        <x:f>IF(L89&lt;&gt;"",2025,IF(K89&lt;&gt;"",2024,IF(J89&lt;&gt;"",2023,IF(I89&lt;&gt;"",2022,IF(H89&lt;&gt;"",2021,IF(G89&lt;&gt;"",2020,IF(F89&lt;&gt;"",2019,IF(E89&lt;&gt;"",2018,IF(D89&lt;&gt;"",2017,IF(C89&lt;&gt;"",2016,""))))))))))</x:f>
        <x:v>2018</x:v>
      </x:c>
      <x:c r="P89" s="299" t="str">
        <x:v>Exited flagship; may continue on specialist Hype Cycles</x:v>
      </x:c>
      <x:c r="Q89" s="299" t="str">
        <x:v>Established / mainstream</x:v>
      </x:c>
      <x:c r="R89" s="299" t="str">
        <x:v>By 2026 this capability is commercially established or embedded in mainstream enterprise/consumer technology, even if the original Gartner label is no longer prominent.</x:v>
      </x:c>
      <x:c r="S89" s="299" t="str"/>
      <x:c r="T89" s="300" t="str">
        <x:f>IFERROR(INDEX($C89:$L89,1,MATCH($N89,$C$4:$L$4,0)),"")</x:f>
        <x:v>IT</x:v>
      </x:c>
      <x:c r="U89" s="300" t="n">
        <x:f>IFERROR(VLOOKUP(T89,'Adoption Methodology'!$F$18:$G$22,2,FALSE),"")</x:f>
        <x:v>1</x:v>
      </x:c>
      <x:c r="V89" s="299" t="str">
        <x:f>IFERROR(VLOOKUP(U89,'Adoption Methodology'!$A$5:$C$10,3,FALSE),"")</x:f>
        <x:v>≈1–5% of relevant market; prototypes, pilots or very early deployments</x:v>
      </x:c>
      <x:c r="W89" s="300" t="n">
        <x:f>IFERROR(VLOOKUP(Q89,'Adoption Methodology'!$F$5:$H$12,2,FALSE),"")</x:f>
        <x:v>5</x:v>
      </x:c>
      <x:c r="X89" s="299" t="str">
        <x:f>IFERROR(VLOOKUP(W89,'Adoption Methodology'!$A$5:$C$10,3,FALSE),"")</x:f>
        <x:v>&gt;60% in leading/addressable segments, or effectively a standard/default capability</x:v>
      </x:c>
      <x:c r="Y89" s="300" t="n">
        <x:f>IF(OR(U89="",W89=""),"",W89-U89)</x:f>
        <x:v>4</x:v>
      </x:c>
      <x:c r="Z89" s="299" t="str">
        <x:f>IF(Y89="","",IF(Y89&gt;0,"Adoption increased",IF(Y89=0,"Broadly unchanged","Adoption maturity lower")))</x:f>
        <x:v>Adoption increased</x:v>
      </x:c>
      <x:c r="AA89" s="300" t="str">
        <x:f>IFERROR(VLOOKUP(Q89,'Adoption Methodology'!$F$5:$H$12,3,FALSE),"Medium")</x:f>
        <x:v>High</x:v>
      </x:c>
      <x:c r="AB89" s="299" t="str">
        <x:f>IFERROR(VLOOKUP(A89,'Adoption Methodology'!$K$5:$L$14,2,FALSE),IFERROR(VLOOKUP(B89,'Adoption Methodology'!$N$5:$O$16,2,FALSE),"https://www.gartner.com/en/information-technology/technology-adoption-roadmaps"))</x:f>
        <x:v>https://www.mckinsey.com/featured-insights/mckinsey-explainers/what-is-digital-twin-technology</x:v>
      </x:c>
      <x:c r="AC89" s="299" t="str">
        <x:f>IF(R89="","Modelled adoption maturity; see Adoption Methodology.",R89&amp;"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90">
      <x:c r="A90" s="299" t="str">
        <x:v>Digital Twin of a Customer</x:v>
      </x:c>
      <x:c r="B90" s="299" t="str">
        <x:v>Business / Emerging Technology</x:v>
      </x:c>
      <x:c r="C90" s="300" t="str"/>
      <x:c r="D90" s="300" t="str"/>
      <x:c r="E90" s="300" t="str"/>
      <x:c r="F90" s="300" t="str"/>
      <x:c r="G90" s="300" t="str"/>
      <x:c r="H90" s="300" t="str"/>
      <x:c r="I90" s="300" t="str"/>
      <x:c r="J90" s="300" t="str"/>
      <x:c r="K90" s="300" t="str">
        <x:v>IT</x:v>
      </x:c>
      <x:c r="L90" s="300" t="str"/>
      <x:c r="M90" s="300" t="n">
        <x:f>COUNTIF(C90:L90,"IT")+COUNTIF(C90:L90,"PE")+COUNTIF(C90:L90,"TD")+COUNTIF(C90:L90,"SE")+COUNTIF(C90:L90,"PP")</x:f>
        <x:v>1</x:v>
      </x:c>
      <x:c r="N90" s="300" t="n">
        <x:f>IF(C90&lt;&gt;"",2016,IF(D90&lt;&gt;"",2017,IF(E90&lt;&gt;"",2018,IF(F90&lt;&gt;"",2019,IF(G90&lt;&gt;"",2020,IF(H90&lt;&gt;"",2021,IF(I90&lt;&gt;"",2022,IF(J90&lt;&gt;"",2023,IF(K90&lt;&gt;"",2024,IF(L90&lt;&gt;"",2025,""))))))))))</x:f>
        <x:v>2024</x:v>
      </x:c>
      <x:c r="O90" s="300" t="n">
        <x:f>IF(L90&lt;&gt;"",2025,IF(K90&lt;&gt;"",2024,IF(J90&lt;&gt;"",2023,IF(I90&lt;&gt;"",2022,IF(H90&lt;&gt;"",2021,IF(G90&lt;&gt;"",2020,IF(F90&lt;&gt;"",2019,IF(E90&lt;&gt;"",2018,IF(D90&lt;&gt;"",2017,IF(C90&lt;&gt;"",2016,""))))))))))</x:f>
        <x:v>2024</x:v>
      </x:c>
      <x:c r="P90" s="299" t="str">
        <x:v>Exited flagship; may continue on specialist Hype Cycles</x:v>
      </x:c>
      <x:c r="Q90" s="299" t="str">
        <x:v>Established / specialist</x:v>
      </x:c>
      <x:c r="R90" s="299" t="str">
        <x:v>By 2026 there are credible production uses and vendors, but adoption is concentrated in particular workloads, industries or architectures rather than universal.</x:v>
      </x:c>
      <x:c r="S90" s="299" t="str">
        <x:v>Related wording: Digital Twin of the Customer.</x:v>
      </x:c>
      <x:c r="T90" s="300" t="str">
        <x:f>IFERROR(INDEX($C90:$L90,1,MATCH($N90,$C$4:$L$4,0)),"")</x:f>
        <x:v>IT</x:v>
      </x:c>
      <x:c r="U90" s="300" t="n">
        <x:f>IFERROR(VLOOKUP(T90,'Adoption Methodology'!$F$18:$G$22,2,FALSE),"")</x:f>
        <x:v>1</x:v>
      </x:c>
      <x:c r="V90" s="299" t="str">
        <x:f>IFERROR(VLOOKUP(U90,'Adoption Methodology'!$A$5:$C$10,3,FALSE),"")</x:f>
        <x:v>≈1–5% of relevant market; prototypes, pilots or very early deployments</x:v>
      </x:c>
      <x:c r="W90" s="300" t="n">
        <x:f>IFERROR(VLOOKUP(Q90,'Adoption Methodology'!$F$5:$H$12,2,FALSE),"")</x:f>
        <x:v>4</x:v>
      </x:c>
      <x:c r="X90" s="299" t="str">
        <x:f>IFERROR(VLOOKUP(W90,'Adoption Methodology'!$A$5:$C$10,3,FALSE),"")</x:f>
        <x:v>≈35–60% within the addressable segment; mature specialist use</x:v>
      </x:c>
      <x:c r="Y90" s="300" t="n">
        <x:f>IF(OR(U90="",W90=""),"",W90-U90)</x:f>
        <x:v>3</x:v>
      </x:c>
      <x:c r="Z90" s="299" t="str">
        <x:f>IF(Y90="","",IF(Y90&gt;0,"Adoption increased",IF(Y90=0,"Broadly unchanged","Adoption maturity lower")))</x:f>
        <x:v>Adoption increased</x:v>
      </x:c>
      <x:c r="AA90" s="300" t="str">
        <x:f>IFERROR(VLOOKUP(Q90,'Adoption Methodology'!$F$5:$H$12,3,FALSE),"Medium")</x:f>
        <x:v>High</x:v>
      </x:c>
      <x:c r="AB90" s="299" t="str">
        <x:f>IFERROR(VLOOKUP(A90,'Adoption Methodology'!$K$5:$L$14,2,FALSE),IFERROR(VLOOKUP(B90,'Adoption Methodology'!$N$5:$O$16,2,FALSE),"https://www.gartner.com/en/information-technology/technology-adoption-roadmaps"))</x:f>
        <x:v>https://www.gartner.com/en/information-technology/technology-adoption-roadmaps</x:v>
      </x:c>
      <x:c r="AC90" s="299" t="str">
        <x:f>IF(R90="","Modelled adoption maturity; see Adoption Methodology.",R90&amp;"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91">
      <x:c r="A91" s="299" t="str">
        <x:v>Digital Twin of the Customer</x:v>
      </x:c>
      <x:c r="B91" s="299" t="str">
        <x:v>Business / Emerging Technology</x:v>
      </x:c>
      <x:c r="C91" s="300" t="str"/>
      <x:c r="D91" s="300" t="str"/>
      <x:c r="E91" s="300" t="str"/>
      <x:c r="F91" s="300" t="str"/>
      <x:c r="G91" s="300" t="str"/>
      <x:c r="H91" s="300" t="str"/>
      <x:c r="I91" s="300" t="str">
        <x:v>IT</x:v>
      </x:c>
      <x:c r="J91" s="300" t="str"/>
      <x:c r="K91" s="300" t="str"/>
      <x:c r="L91" s="300" t="str"/>
      <x:c r="M91" s="300" t="n">
        <x:f>COUNTIF(C91:L91,"IT")+COUNTIF(C91:L91,"PE")+COUNTIF(C91:L91,"TD")+COUNTIF(C91:L91,"SE")+COUNTIF(C91:L91,"PP")</x:f>
        <x:v>1</x:v>
      </x:c>
      <x:c r="N91" s="300" t="n">
        <x:f>IF(C91&lt;&gt;"",2016,IF(D91&lt;&gt;"",2017,IF(E91&lt;&gt;"",2018,IF(F91&lt;&gt;"",2019,IF(G91&lt;&gt;"",2020,IF(H91&lt;&gt;"",2021,IF(I91&lt;&gt;"",2022,IF(J91&lt;&gt;"",2023,IF(K91&lt;&gt;"",2024,IF(L91&lt;&gt;"",2025,""))))))))))</x:f>
        <x:v>2022</x:v>
      </x:c>
      <x:c r="O91" s="300" t="n">
        <x:f>IF(L91&lt;&gt;"",2025,IF(K91&lt;&gt;"",2024,IF(J91&lt;&gt;"",2023,IF(I91&lt;&gt;"",2022,IF(H91&lt;&gt;"",2021,IF(G91&lt;&gt;"",2020,IF(F91&lt;&gt;"",2019,IF(E91&lt;&gt;"",2018,IF(D91&lt;&gt;"",2017,IF(C91&lt;&gt;"",2016,""))))))))))</x:f>
        <x:v>2022</x:v>
      </x:c>
      <x:c r="P91" s="299" t="str">
        <x:v>Exited flagship; may continue on specialist Hype Cycles</x:v>
      </x:c>
      <x:c r="Q91" s="299" t="str">
        <x:v>Established / specialist</x:v>
      </x:c>
      <x:c r="R91" s="299" t="str">
        <x:v>By 2026 there are credible production uses and vendors, but adoption is concentrated in particular workloads, industries or architectures rather than universal.</x:v>
      </x:c>
      <x:c r="S91" s="299" t="str">
        <x:v>Related wording: Digital Twin of a Customer.</x:v>
      </x:c>
      <x:c r="T91" s="300" t="str">
        <x:f>IFERROR(INDEX($C91:$L91,1,MATCH($N91,$C$4:$L$4,0)),"")</x:f>
        <x:v>IT</x:v>
      </x:c>
      <x:c r="U91" s="300" t="n">
        <x:f>IFERROR(VLOOKUP(T91,'Adoption Methodology'!$F$18:$G$22,2,FALSE),"")</x:f>
        <x:v>1</x:v>
      </x:c>
      <x:c r="V91" s="299" t="str">
        <x:f>IFERROR(VLOOKUP(U91,'Adoption Methodology'!$A$5:$C$10,3,FALSE),"")</x:f>
        <x:v>≈1–5% of relevant market; prototypes, pilots or very early deployments</x:v>
      </x:c>
      <x:c r="W91" s="300" t="n">
        <x:f>IFERROR(VLOOKUP(Q91,'Adoption Methodology'!$F$5:$H$12,2,FALSE),"")</x:f>
        <x:v>4</x:v>
      </x:c>
      <x:c r="X91" s="299" t="str">
        <x:f>IFERROR(VLOOKUP(W91,'Adoption Methodology'!$A$5:$C$10,3,FALSE),"")</x:f>
        <x:v>≈35–60% within the addressable segment; mature specialist use</x:v>
      </x:c>
      <x:c r="Y91" s="300" t="n">
        <x:f>IF(OR(U91="",W91=""),"",W91-U91)</x:f>
        <x:v>3</x:v>
      </x:c>
      <x:c r="Z91" s="299" t="str">
        <x:f>IF(Y91="","",IF(Y91&gt;0,"Adoption increased",IF(Y91=0,"Broadly unchanged","Adoption maturity lower")))</x:f>
        <x:v>Adoption increased</x:v>
      </x:c>
      <x:c r="AA91" s="300" t="str">
        <x:f>IFERROR(VLOOKUP(Q91,'Adoption Methodology'!$F$5:$H$12,3,FALSE),"Medium")</x:f>
        <x:v>High</x:v>
      </x:c>
      <x:c r="AB91" s="299" t="str">
        <x:f>IFERROR(VLOOKUP(A91,'Adoption Methodology'!$K$5:$L$14,2,FALSE),IFERROR(VLOOKUP(B91,'Adoption Methodology'!$N$5:$O$16,2,FALSE),"https://www.gartner.com/en/information-technology/technology-adoption-roadmaps"))</x:f>
        <x:v>https://www.gartner.com/en/information-technology/technology-adoption-roadmaps</x:v>
      </x:c>
      <x:c r="AC91" s="299" t="str">
        <x:f>IF(R91="","Modelled adoption maturity; see Adoption Methodology.",R91&amp;"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92">
      <x:c r="A92" s="299" t="str">
        <x:v>Digital Twin of the Person</x:v>
      </x:c>
      <x:c r="B92" s="299" t="str">
        <x:v>Business / Emerging Technology</x:v>
      </x:c>
      <x:c r="C92" s="300" t="str"/>
      <x:c r="D92" s="300" t="str"/>
      <x:c r="E92" s="300" t="str"/>
      <x:c r="F92" s="300" t="str"/>
      <x:c r="G92" s="300" t="str">
        <x:v>IT</x:v>
      </x:c>
      <x:c r="H92" s="300" t="str"/>
      <x:c r="I92" s="300" t="str"/>
      <x:c r="J92" s="300" t="str"/>
      <x:c r="K92" s="300" t="str"/>
      <x:c r="L92" s="300" t="str"/>
      <x:c r="M92" s="300" t="n">
        <x:f>COUNTIF(C92:L92,"IT")+COUNTIF(C92:L92,"PE")+COUNTIF(C92:L92,"TD")+COUNTIF(C92:L92,"SE")+COUNTIF(C92:L92,"PP")</x:f>
        <x:v>1</x:v>
      </x:c>
      <x:c r="N92" s="300" t="n">
        <x:f>IF(C92&lt;&gt;"",2016,IF(D92&lt;&gt;"",2017,IF(E92&lt;&gt;"",2018,IF(F92&lt;&gt;"",2019,IF(G92&lt;&gt;"",2020,IF(H92&lt;&gt;"",2021,IF(I92&lt;&gt;"",2022,IF(J92&lt;&gt;"",2023,IF(K92&lt;&gt;"",2024,IF(L92&lt;&gt;"",2025,""))))))))))</x:f>
        <x:v>2020</x:v>
      </x:c>
      <x:c r="O92" s="300" t="n">
        <x:f>IF(L92&lt;&gt;"",2025,IF(K92&lt;&gt;"",2024,IF(J92&lt;&gt;"",2023,IF(I92&lt;&gt;"",2022,IF(H92&lt;&gt;"",2021,IF(G92&lt;&gt;"",2020,IF(F92&lt;&gt;"",2019,IF(E92&lt;&gt;"",2018,IF(D92&lt;&gt;"",2017,IF(C92&lt;&gt;"",2016,""))))))))))</x:f>
        <x:v>2020</x:v>
      </x:c>
      <x:c r="P92" s="299" t="str">
        <x:v>Exited flagship; may continue on specialist Hype Cycles</x:v>
      </x:c>
      <x:c r="Q92" s="299" t="str">
        <x:v>Established / specialist</x:v>
      </x:c>
      <x:c r="R92" s="299" t="str">
        <x:v>By 2026 there are credible production uses and vendors, but adoption is concentrated in particular workloads, industries or architectures rather than universal.</x:v>
      </x:c>
      <x:c r="S92" s="299" t="str"/>
      <x:c r="T92" s="300" t="str">
        <x:f>IFERROR(INDEX($C92:$L92,1,MATCH($N92,$C$4:$L$4,0)),"")</x:f>
        <x:v>IT</x:v>
      </x:c>
      <x:c r="U92" s="300" t="n">
        <x:f>IFERROR(VLOOKUP(T92,'Adoption Methodology'!$F$18:$G$22,2,FALSE),"")</x:f>
        <x:v>1</x:v>
      </x:c>
      <x:c r="V92" s="299" t="str">
        <x:f>IFERROR(VLOOKUP(U92,'Adoption Methodology'!$A$5:$C$10,3,FALSE),"")</x:f>
        <x:v>≈1–5% of relevant market; prototypes, pilots or very early deployments</x:v>
      </x:c>
      <x:c r="W92" s="300" t="n">
        <x:f>IFERROR(VLOOKUP(Q92,'Adoption Methodology'!$F$5:$H$12,2,FALSE),"")</x:f>
        <x:v>4</x:v>
      </x:c>
      <x:c r="X92" s="299" t="str">
        <x:f>IFERROR(VLOOKUP(W92,'Adoption Methodology'!$A$5:$C$10,3,FALSE),"")</x:f>
        <x:v>≈35–60% within the addressable segment; mature specialist use</x:v>
      </x:c>
      <x:c r="Y92" s="300" t="n">
        <x:f>IF(OR(U92="",W92=""),"",W92-U92)</x:f>
        <x:v>3</x:v>
      </x:c>
      <x:c r="Z92" s="299" t="str">
        <x:f>IF(Y92="","",IF(Y92&gt;0,"Adoption increased",IF(Y92=0,"Broadly unchanged","Adoption maturity lower")))</x:f>
        <x:v>Adoption increased</x:v>
      </x:c>
      <x:c r="AA92" s="300" t="str">
        <x:f>IFERROR(VLOOKUP(Q92,'Adoption Methodology'!$F$5:$H$12,3,FALSE),"Medium")</x:f>
        <x:v>High</x:v>
      </x:c>
      <x:c r="AB92" s="299" t="str">
        <x:f>IFERROR(VLOOKUP(A92,'Adoption Methodology'!$K$5:$L$14,2,FALSE),IFERROR(VLOOKUP(B92,'Adoption Methodology'!$N$5:$O$16,2,FALSE),"https://www.gartner.com/en/information-technology/technology-adoption-roadmaps"))</x:f>
        <x:v>https://www.gartner.com/en/information-technology/technology-adoption-roadmaps</x:v>
      </x:c>
      <x:c r="AC92" s="299" t="str">
        <x:f>IF(R92="","Modelled adoption maturity; see Adoption Methodology.",R92&amp;"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93">
      <x:c r="A93" s="299" t="str">
        <x:v>DigitalOps</x:v>
      </x:c>
      <x:c r="B93" s="299" t="str">
        <x:v>Cloud / Software Engineering</x:v>
      </x:c>
      <x:c r="C93" s="300" t="str"/>
      <x:c r="D93" s="300" t="str"/>
      <x:c r="E93" s="300" t="str"/>
      <x:c r="F93" s="300" t="str">
        <x:v>IT</x:v>
      </x:c>
      <x:c r="G93" s="300" t="str"/>
      <x:c r="H93" s="300" t="str"/>
      <x:c r="I93" s="300" t="str"/>
      <x:c r="J93" s="300" t="str"/>
      <x:c r="K93" s="300" t="str"/>
      <x:c r="L93" s="300" t="str"/>
      <x:c r="M93" s="300" t="n">
        <x:f>COUNTIF(C93:L93,"IT")+COUNTIF(C93:L93,"PE")+COUNTIF(C93:L93,"TD")+COUNTIF(C93:L93,"SE")+COUNTIF(C93:L93,"PP")</x:f>
        <x:v>1</x:v>
      </x:c>
      <x:c r="N93" s="300" t="n">
        <x:f>IF(C93&lt;&gt;"",2016,IF(D93&lt;&gt;"",2017,IF(E93&lt;&gt;"",2018,IF(F93&lt;&gt;"",2019,IF(G93&lt;&gt;"",2020,IF(H93&lt;&gt;"",2021,IF(I93&lt;&gt;"",2022,IF(J93&lt;&gt;"",2023,IF(K93&lt;&gt;"",2024,IF(L93&lt;&gt;"",2025,""))))))))))</x:f>
        <x:v>2019</x:v>
      </x:c>
      <x:c r="O93" s="300" t="n">
        <x:f>IF(L93&lt;&gt;"",2025,IF(K93&lt;&gt;"",2024,IF(J93&lt;&gt;"",2023,IF(I93&lt;&gt;"",2022,IF(H93&lt;&gt;"",2021,IF(G93&lt;&gt;"",2020,IF(F93&lt;&gt;"",2019,IF(E93&lt;&gt;"",2018,IF(D93&lt;&gt;"",2017,IF(C93&lt;&gt;"",2016,""))))))))))</x:f>
        <x:v>2019</x:v>
      </x:c>
      <x:c r="P93" s="299" t="str">
        <x:v>Exited flagship; may continue on specialist Hype Cycles</x:v>
      </x:c>
      <x:c r="Q93" s="299" t="str">
        <x:v>Superseded / absorbed</x:v>
      </x:c>
      <x:c r="R93" s="299" t="str">
        <x:v>The concept largely survives inside broader platforms, successor terminology or more specific technology categories rather than as a standalone label.</x:v>
      </x:c>
      <x:c r="S93" s="299" t="str"/>
      <x:c r="T93" s="300" t="str">
        <x:f>IFERROR(INDEX($C93:$L93,1,MATCH($N93,$C$4:$L$4,0)),"")</x:f>
        <x:v>IT</x:v>
      </x:c>
      <x:c r="U93" s="300" t="n">
        <x:f>IFERROR(VLOOKUP(T93,'Adoption Methodology'!$F$18:$G$22,2,FALSE),"")</x:f>
        <x:v>1</x:v>
      </x:c>
      <x:c r="V93" s="299" t="str">
        <x:f>IFERROR(VLOOKUP(U93,'Adoption Methodology'!$A$5:$C$10,3,FALSE),"")</x:f>
        <x:v>≈1–5% of relevant market; prototypes, pilots or very early deployments</x:v>
      </x:c>
      <x:c r="W93" s="300" t="n">
        <x:f>IFERROR(VLOOKUP(Q93,'Adoption Methodology'!$F$5:$H$12,2,FALSE),"")</x:f>
        <x:v>3</x:v>
      </x:c>
      <x:c r="X93" s="299" t="str">
        <x:f>IFERROR(VLOOKUP(W93,'Adoption Methodology'!$A$5:$C$10,3,FALSE),"")</x:f>
        <x:v>≈15–35% of relevant market, or capability absorbed into successor platforms</x:v>
      </x:c>
      <x:c r="Y93" s="300" t="n">
        <x:f>IF(OR(U93="",W93=""),"",W93-U93)</x:f>
        <x:v>2</x:v>
      </x:c>
      <x:c r="Z93" s="299" t="str">
        <x:f>IF(Y93="","",IF(Y93&gt;0,"Adoption increased",IF(Y93=0,"Broadly unchanged","Adoption maturity lower")))</x:f>
        <x:v>Adoption increased</x:v>
      </x:c>
      <x:c r="AA93" s="300" t="str">
        <x:f>IFERROR(VLOOKUP(Q93,'Adoption Methodology'!$F$5:$H$12,3,FALSE),"Medium")</x:f>
        <x:v>Medium-Low</x:v>
      </x:c>
      <x:c r="AB93" s="299" t="str">
        <x:f>IFERROR(VLOOKUP(A93,'Adoption Methodology'!$K$5:$L$14,2,FALSE),IFERROR(VLOOKUP(B93,'Adoption Methodology'!$N$5:$O$16,2,FALSE),"https://www.gartner.com/en/information-technology/technology-adoption-roadmaps"))</x:f>
        <x:v>https://www.cncf.io/reports/the-cncf-annual-cloud-native-survey/</x:v>
      </x:c>
      <x:c r="AC93" s="299" t="str">
        <x:f>IF(R93="","Modelled adoption maturity; see Adoption Methodology.",R93&amp;"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94">
      <x:c r="A94" s="299" t="str">
        <x:v>Disinformation Security</x:v>
      </x:c>
      <x:c r="B94" s="299" t="str">
        <x:v>Security / Privacy</x:v>
      </x:c>
      <x:c r="C94" s="300" t="str"/>
      <x:c r="D94" s="300" t="str"/>
      <x:c r="E94" s="300" t="str"/>
      <x:c r="F94" s="300" t="str"/>
      <x:c r="G94" s="300" t="str"/>
      <x:c r="H94" s="300" t="str"/>
      <x:c r="I94" s="300" t="str"/>
      <x:c r="J94" s="300" t="str"/>
      <x:c r="K94" s="300" t="str">
        <x:v>IT</x:v>
      </x:c>
      <x:c r="L94" s="300" t="str">
        <x:v>IT</x:v>
      </x:c>
      <x:c r="M94" s="300" t="n">
        <x:f>COUNTIF(C94:L94,"IT")+COUNTIF(C94:L94,"PE")+COUNTIF(C94:L94,"TD")+COUNTIF(C94:L94,"SE")+COUNTIF(C94:L94,"PP")</x:f>
        <x:v>2</x:v>
      </x:c>
      <x:c r="N94" s="300" t="n">
        <x:f>IF(C94&lt;&gt;"",2016,IF(D94&lt;&gt;"",2017,IF(E94&lt;&gt;"",2018,IF(F94&lt;&gt;"",2019,IF(G94&lt;&gt;"",2020,IF(H94&lt;&gt;"",2021,IF(I94&lt;&gt;"",2022,IF(J94&lt;&gt;"",2023,IF(K94&lt;&gt;"",2024,IF(L94&lt;&gt;"",2025,""))))))))))</x:f>
        <x:v>2024</x:v>
      </x:c>
      <x:c r="O94" s="300" t="n">
        <x:f>IF(L94&lt;&gt;"",2025,IF(K94&lt;&gt;"",2024,IF(J94&lt;&gt;"",2023,IF(I94&lt;&gt;"",2022,IF(H94&lt;&gt;"",2021,IF(G94&lt;&gt;"",2020,IF(F94&lt;&gt;"",2019,IF(E94&lt;&gt;"",2018,IF(D94&lt;&gt;"",2017,IF(C94&lt;&gt;"",2016,""))))))))))</x:f>
        <x:v>2025</x:v>
      </x:c>
      <x:c r="P94" s="299" t="str">
        <x:v>Still on the 2025 flagship</x:v>
      </x:c>
      <x:c r="Q94" s="299" t="str">
        <x:v>Established / specialist</x:v>
      </x:c>
      <x:c r="R94" s="299" t="str">
        <x:v>By 2026 there are credible production uses and vendors, but adoption is concentrated in particular workloads, industries or architectures rather than universal.</x:v>
      </x:c>
      <x:c r="S94" s="299" t="str"/>
      <x:c r="T94" s="300" t="str">
        <x:f>IFERROR(INDEX($C94:$L94,1,MATCH($N94,$C$4:$L$4,0)),"")</x:f>
        <x:v>IT</x:v>
      </x:c>
      <x:c r="U94" s="300" t="n">
        <x:f>IFERROR(VLOOKUP(T94,'Adoption Methodology'!$F$18:$G$22,2,FALSE),"")</x:f>
        <x:v>1</x:v>
      </x:c>
      <x:c r="V94" s="299" t="str">
        <x:f>IFERROR(VLOOKUP(U94,'Adoption Methodology'!$A$5:$C$10,3,FALSE),"")</x:f>
        <x:v>≈1–5% of relevant market; prototypes, pilots or very early deployments</x:v>
      </x:c>
      <x:c r="W94" s="300" t="n">
        <x:f>IFERROR(VLOOKUP(Q94,'Adoption Methodology'!$F$5:$H$12,2,FALSE),"")</x:f>
        <x:v>4</x:v>
      </x:c>
      <x:c r="X94" s="299" t="str">
        <x:f>IFERROR(VLOOKUP(W94,'Adoption Methodology'!$A$5:$C$10,3,FALSE),"")</x:f>
        <x:v>≈35–60% within the addressable segment; mature specialist use</x:v>
      </x:c>
      <x:c r="Y94" s="300" t="n">
        <x:f>IF(OR(U94="",W94=""),"",W94-U94)</x:f>
        <x:v>3</x:v>
      </x:c>
      <x:c r="Z94" s="299" t="str">
        <x:f>IF(Y94="","",IF(Y94&gt;0,"Adoption increased",IF(Y94=0,"Broadly unchanged","Adoption maturity lower")))</x:f>
        <x:v>Adoption increased</x:v>
      </x:c>
      <x:c r="AA94" s="300" t="str">
        <x:f>IFERROR(VLOOKUP(Q94,'Adoption Methodology'!$F$5:$H$12,3,FALSE),"Medium")</x:f>
        <x:v>High</x:v>
      </x:c>
      <x:c r="AB94" s="299" t="str">
        <x:f>IFERROR(VLOOKUP(A94,'Adoption Methodology'!$K$5:$L$14,2,FALSE),IFERROR(VLOOKUP(B94,'Adoption Methodology'!$N$5:$O$16,2,FALSE),"https://www.gartner.com/en/information-technology/technology-adoption-roadmaps"))</x:f>
        <x:v>https://www.gartner.com/en/information-technology/technology-adoption-roadmaps</x:v>
      </x:c>
      <x:c r="AC94" s="299" t="str">
        <x:f>IF(R94="","Modelled adoption maturity; see Adoption Methodology.",R94&amp;"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95">
      <x:c r="A95" s="299" t="str">
        <x:v>DNA Computing and Storage</x:v>
      </x:c>
      <x:c r="B95" s="299" t="str">
        <x:v>Business / Emerging Technology</x:v>
      </x:c>
      <x:c r="C95" s="300" t="str"/>
      <x:c r="D95" s="300" t="str"/>
      <x:c r="E95" s="300" t="str"/>
      <x:c r="F95" s="300" t="str"/>
      <x:c r="G95" s="300" t="str">
        <x:v>IT</x:v>
      </x:c>
      <x:c r="H95" s="300" t="str"/>
      <x:c r="I95" s="300" t="str"/>
      <x:c r="J95" s="300" t="str"/>
      <x:c r="K95" s="300" t="str"/>
      <x:c r="L95" s="300" t="str"/>
      <x:c r="M95" s="300" t="n">
        <x:f>COUNTIF(C95:L95,"IT")+COUNTIF(C95:L95,"PE")+COUNTIF(C95:L95,"TD")+COUNTIF(C95:L95,"SE")+COUNTIF(C95:L95,"PP")</x:f>
        <x:v>1</x:v>
      </x:c>
      <x:c r="N95" s="300" t="n">
        <x:f>IF(C95&lt;&gt;"",2016,IF(D95&lt;&gt;"",2017,IF(E95&lt;&gt;"",2018,IF(F95&lt;&gt;"",2019,IF(G95&lt;&gt;"",2020,IF(H95&lt;&gt;"",2021,IF(I95&lt;&gt;"",2022,IF(J95&lt;&gt;"",2023,IF(K95&lt;&gt;"",2024,IF(L95&lt;&gt;"",2025,""))))))))))</x:f>
        <x:v>2020</x:v>
      </x:c>
      <x:c r="O95" s="300" t="n">
        <x:f>IF(L95&lt;&gt;"",2025,IF(K95&lt;&gt;"",2024,IF(J95&lt;&gt;"",2023,IF(I95&lt;&gt;"",2022,IF(H95&lt;&gt;"",2021,IF(G95&lt;&gt;"",2020,IF(F95&lt;&gt;"",2019,IF(E95&lt;&gt;"",2018,IF(D95&lt;&gt;"",2017,IF(C95&lt;&gt;"",2016,""))))))))))</x:f>
        <x:v>2020</x:v>
      </x:c>
      <x:c r="P95" s="299" t="str">
        <x:v>Exited flagship; may continue on specialist Hype Cycles</x:v>
      </x:c>
      <x:c r="Q95" s="299" t="str">
        <x:v>Still emerging / long-horizon</x:v>
      </x:c>
      <x:c r="R95" s="299" t="str">
        <x:v>By 2026 the technology remains emerging, research-heavy or constrained by economics, engineering, regulation or deployment scale.</x:v>
      </x:c>
      <x:c r="S95" s="299" t="str"/>
      <x:c r="T95" s="300" t="str">
        <x:f>IFERROR(INDEX($C95:$L95,1,MATCH($N95,$C$4:$L$4,0)),"")</x:f>
        <x:v>IT</x:v>
      </x:c>
      <x:c r="U95" s="300" t="n">
        <x:f>IFERROR(VLOOKUP(T95,'Adoption Methodology'!$F$18:$G$22,2,FALSE),"")</x:f>
        <x:v>1</x:v>
      </x:c>
      <x:c r="V95" s="299" t="str">
        <x:f>IFERROR(VLOOKUP(U95,'Adoption Methodology'!$A$5:$C$10,3,FALSE),"")</x:f>
        <x:v>≈1–5% of relevant market; prototypes, pilots or very early deployments</x:v>
      </x:c>
      <x:c r="W95" s="300" t="n">
        <x:f>IFERROR(VLOOKUP(Q95,'Adoption Methodology'!$F$5:$H$12,2,FALSE),"")</x:f>
        <x:v>1</x:v>
      </x:c>
      <x:c r="X95" s="299" t="str">
        <x:f>IFERROR(VLOOKUP(W95,'Adoption Methodology'!$A$5:$C$10,3,FALSE),"")</x:f>
        <x:v>≈1–5% of relevant market; prototypes, pilots or very early deployments</x:v>
      </x:c>
      <x:c r="Y95" s="300" t="n">
        <x:f>IF(OR(U95="",W95=""),"",W95-U95)</x:f>
        <x:v>0</x:v>
      </x:c>
      <x:c r="Z95" s="299" t="str">
        <x:f>IF(Y95="","",IF(Y95&gt;0,"Adoption increased",IF(Y95=0,"Broadly unchanged","Adoption maturity lower")))</x:f>
      </x:c>
      <x:c r="AA95" s="300" t="str">
        <x:f>IFERROR(VLOOKUP(Q95,'Adoption Methodology'!$F$5:$H$12,3,FALSE),"Medium")</x:f>
        <x:v>Medium</x:v>
      </x:c>
      <x:c r="AB95" s="299" t="str">
        <x:f>IFERROR(VLOOKUP(A95,'Adoption Methodology'!$K$5:$L$14,2,FALSE),IFERROR(VLOOKUP(B95,'Adoption Methodology'!$N$5:$O$16,2,FALSE),"https://www.gartner.com/en/information-technology/technology-adoption-roadmaps"))</x:f>
        <x:v>https://www.gartner.com/en/information-technology/technology-adoption-roadmaps</x:v>
      </x:c>
      <x:c r="AC95" s="299" t="str">
        <x:f>IF(R95="","Modelled adoption maturity; see Adoption Methodology.",R95&amp;"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96">
      <x:c r="A96" s="299" t="str">
        <x:v>Domain-Specific GenAI Models</x:v>
      </x:c>
      <x:c r="B96" s="299" t="str">
        <x:v>AI / Data / Analytics</x:v>
      </x:c>
      <x:c r="C96" s="300" t="str"/>
      <x:c r="D96" s="300" t="str"/>
      <x:c r="E96" s="300" t="str"/>
      <x:c r="F96" s="300" t="str"/>
      <x:c r="G96" s="300" t="str"/>
      <x:c r="H96" s="300" t="str"/>
      <x:c r="I96" s="300" t="str"/>
      <x:c r="J96" s="300" t="str"/>
      <x:c r="K96" s="300" t="str"/>
      <x:c r="L96" s="300" t="str">
        <x:v>PE</x:v>
      </x:c>
      <x:c r="M96" s="300" t="n">
        <x:f>COUNTIF(C96:L96,"IT")+COUNTIF(C96:L96,"PE")+COUNTIF(C96:L96,"TD")+COUNTIF(C96:L96,"SE")+COUNTIF(C96:L96,"PP")</x:f>
        <x:v>1</x:v>
      </x:c>
      <x:c r="N96" s="300" t="n">
        <x:f>IF(C96&lt;&gt;"",2016,IF(D96&lt;&gt;"",2017,IF(E96&lt;&gt;"",2018,IF(F96&lt;&gt;"",2019,IF(G96&lt;&gt;"",2020,IF(H96&lt;&gt;"",2021,IF(I96&lt;&gt;"",2022,IF(J96&lt;&gt;"",2023,IF(K96&lt;&gt;"",2024,IF(L96&lt;&gt;"",2025,""))))))))))</x:f>
        <x:v>2025</x:v>
      </x:c>
      <x:c r="O96" s="300" t="n">
        <x:f>IF(L96&lt;&gt;"",2025,IF(K96&lt;&gt;"",2024,IF(J96&lt;&gt;"",2023,IF(I96&lt;&gt;"",2022,IF(H96&lt;&gt;"",2021,IF(G96&lt;&gt;"",2020,IF(F96&lt;&gt;"",2019,IF(E96&lt;&gt;"",2018,IF(D96&lt;&gt;"",2017,IF(C96&lt;&gt;"",2016,""))))))))))</x:f>
        <x:v>2025</x:v>
      </x:c>
      <x:c r="P96" s="299" t="str">
        <x:v>Still on the 2025 flagship</x:v>
      </x:c>
      <x:c r="Q96" s="299" t="str">
        <x:v>Still emerging / evolving</x:v>
      </x:c>
      <x:c r="R96" s="299" t="str">
        <x:v>By 2026 the category is still evolving quickly; commercial adoption exists or is beginning, but maturity and durable ROI vary significantly.</x:v>
      </x:c>
      <x:c r="S96" s="299" t="str"/>
      <x:c r="T96" s="300" t="str">
        <x:f>IFERROR(INDEX($C96:$L96,1,MATCH($N96,$C$4:$L$4,0)),"")</x:f>
        <x:v>PE</x:v>
      </x:c>
      <x:c r="U96" s="300" t="n">
        <x:f>IFERROR(VLOOKUP(T96,'Adoption Methodology'!$F$18:$G$22,2,FALSE),"")</x:f>
        <x:v>2</x:v>
      </x:c>
      <x:c r="V96" s="299" t="str">
        <x:f>IFERROR(VLOOKUP(U96,'Adoption Methodology'!$A$5:$C$10,3,FALSE),"")</x:f>
        <x:v>≈5–15% of relevant market; credible deployments but limited scale</x:v>
      </x:c>
      <x:c r="W96" s="300" t="n">
        <x:f>IFERROR(VLOOKUP(Q96,'Adoption Methodology'!$F$5:$H$12,2,FALSE),"")</x:f>
        <x:v>2</x:v>
      </x:c>
      <x:c r="X96" s="299" t="str">
        <x:f>IFERROR(VLOOKUP(W96,'Adoption Methodology'!$A$5:$C$10,3,FALSE),"")</x:f>
        <x:v>≈5–15% of relevant market; credible deployments but limited scale</x:v>
      </x:c>
      <x:c r="Y96" s="300" t="n">
        <x:f>IF(OR(U96="",W96=""),"",W96-U96)</x:f>
        <x:v>0</x:v>
      </x:c>
      <x:c r="Z96" s="299" t="str">
        <x:f>IF(Y96="","",IF(Y96&gt;0,"Adoption increased",IF(Y96=0,"Broadly unchanged","Adoption maturity lower")))</x:f>
      </x:c>
      <x:c r="AA96" s="300" t="str">
        <x:f>IFERROR(VLOOKUP(Q96,'Adoption Methodology'!$F$5:$H$12,3,FALSE),"Medium")</x:f>
        <x:v>Medium</x:v>
      </x:c>
      <x:c r="AB96" s="299" t="str">
        <x:f>IFERROR(VLOOKUP(A96,'Adoption Methodology'!$K$5:$L$14,2,FALSE),IFERROR(VLOOKUP(B96,'Adoption Methodology'!$N$5:$O$16,2,FALSE),"https://www.gartner.com/en/information-technology/technology-adoption-roadmaps"))</x:f>
        <x:v>https://www.mckinsey.com/capabilities/quantumblack/our-insights/the-state-of-ai</x:v>
      </x:c>
      <x:c r="AC96" s="299" t="str">
        <x:f>IF(R96="","Modelled adoption maturity; see Adoption Methodology.",R96&amp;"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97">
      <x:c r="A97" s="299" t="str">
        <x:v>Dynamic Risk Governance</x:v>
      </x:c>
      <x:c r="B97" s="299" t="str">
        <x:v>Security / Privacy</x:v>
      </x:c>
      <x:c r="C97" s="300" t="str"/>
      <x:c r="D97" s="300" t="str"/>
      <x:c r="E97" s="300" t="str"/>
      <x:c r="F97" s="300" t="str"/>
      <x:c r="G97" s="300" t="str"/>
      <x:c r="H97" s="300" t="str"/>
      <x:c r="I97" s="300" t="str">
        <x:v>IT</x:v>
      </x:c>
      <x:c r="J97" s="300" t="str"/>
      <x:c r="K97" s="300" t="str"/>
      <x:c r="L97" s="300" t="str"/>
      <x:c r="M97" s="300" t="n">
        <x:f>COUNTIF(C97:L97,"IT")+COUNTIF(C97:L97,"PE")+COUNTIF(C97:L97,"TD")+COUNTIF(C97:L97,"SE")+COUNTIF(C97:L97,"PP")</x:f>
        <x:v>1</x:v>
      </x:c>
      <x:c r="N97" s="300" t="n">
        <x:f>IF(C97&lt;&gt;"",2016,IF(D97&lt;&gt;"",2017,IF(E97&lt;&gt;"",2018,IF(F97&lt;&gt;"",2019,IF(G97&lt;&gt;"",2020,IF(H97&lt;&gt;"",2021,IF(I97&lt;&gt;"",2022,IF(J97&lt;&gt;"",2023,IF(K97&lt;&gt;"",2024,IF(L97&lt;&gt;"",2025,""))))))))))</x:f>
        <x:v>2022</x:v>
      </x:c>
      <x:c r="O97" s="300" t="n">
        <x:f>IF(L97&lt;&gt;"",2025,IF(K97&lt;&gt;"",2024,IF(J97&lt;&gt;"",2023,IF(I97&lt;&gt;"",2022,IF(H97&lt;&gt;"",2021,IF(G97&lt;&gt;"",2020,IF(F97&lt;&gt;"",2019,IF(E97&lt;&gt;"",2018,IF(D97&lt;&gt;"",2017,IF(C97&lt;&gt;"",2016,""))))))))))</x:f>
        <x:v>2022</x:v>
      </x:c>
      <x:c r="P97" s="299" t="str">
        <x:v>Exited flagship; may continue on specialist Hype Cycles</x:v>
      </x:c>
      <x:c r="Q97" s="299" t="str">
        <x:v>Exited flagship / evolving</x:v>
      </x:c>
      <x:c r="R97" s="299" t="str">
        <x:v>The label left the flagship cycle; Gartner’s flagship is deliberately dynamic, so exit should not be read as failure without checking specialist Hype Cycles.</x:v>
      </x:c>
      <x:c r="S97" s="299" t="str"/>
      <x:c r="T97" s="300" t="str">
        <x:f>IFERROR(INDEX($C97:$L97,1,MATCH($N97,$C$4:$L$4,0)),"")</x:f>
        <x:v>IT</x:v>
      </x:c>
      <x:c r="U97" s="300" t="n">
        <x:f>IFERROR(VLOOKUP(T97,'Adoption Methodology'!$F$18:$G$22,2,FALSE),"")</x:f>
        <x:v>1</x:v>
      </x:c>
      <x:c r="V97" s="299" t="str">
        <x:f>IFERROR(VLOOKUP(U97,'Adoption Methodology'!$A$5:$C$10,3,FALSE),"")</x:f>
        <x:v>≈1–5% of relevant market; prototypes, pilots or very early deployments</x:v>
      </x:c>
      <x:c r="W97" s="300" t="n">
        <x:f>IFERROR(VLOOKUP(Q97,'Adoption Methodology'!$F$5:$H$12,2,FALSE),"")</x:f>
        <x:v>2</x:v>
      </x:c>
      <x:c r="X97" s="299" t="str">
        <x:f>IFERROR(VLOOKUP(W97,'Adoption Methodology'!$A$5:$C$10,3,FALSE),"")</x:f>
        <x:v>≈5–15% of relevant market; credible deployments but limited scale</x:v>
      </x:c>
      <x:c r="Y97" s="300" t="n">
        <x:f>IF(OR(U97="",W97=""),"",W97-U97)</x:f>
        <x:v>1</x:v>
      </x:c>
      <x:c r="Z97" s="299" t="str">
        <x:f>IF(Y97="","",IF(Y97&gt;0,"Adoption increased",IF(Y97=0,"Broadly unchanged","Adoption maturity lower")))</x:f>
        <x:v>Adoption increased</x:v>
      </x:c>
      <x:c r="AA97" s="300" t="str">
        <x:f>IFERROR(VLOOKUP(Q97,'Adoption Methodology'!$F$5:$H$12,3,FALSE),"Medium")</x:f>
        <x:v>Medium-Low</x:v>
      </x:c>
      <x:c r="AB97" s="299" t="str">
        <x:f>IFERROR(VLOOKUP(A97,'Adoption Methodology'!$K$5:$L$14,2,FALSE),IFERROR(VLOOKUP(B97,'Adoption Methodology'!$N$5:$O$16,2,FALSE),"https://www.gartner.com/en/information-technology/technology-adoption-roadmaps"))</x:f>
        <x:v>https://www.gartner.com/en/information-technology/technology-adoption-roadmaps</x:v>
      </x:c>
      <x:c r="AC97" s="299" t="str">
        <x:f>IF(R97="","Modelled adoption maturity; see Adoption Methodology.",R97&amp;"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98">
      <x:c r="A98" s="299" t="str">
        <x:v>Edge AI</x:v>
      </x:c>
      <x:c r="B98" s="299" t="str">
        <x:v>Connectivity / Edge / IoT</x:v>
      </x:c>
      <x:c r="C98" s="300" t="str"/>
      <x:c r="D98" s="300" t="str"/>
      <x:c r="E98" s="300" t="str">
        <x:v>IT</x:v>
      </x:c>
      <x:c r="F98" s="300" t="str">
        <x:v>PE</x:v>
      </x:c>
      <x:c r="G98" s="300" t="str"/>
      <x:c r="H98" s="300" t="str"/>
      <x:c r="I98" s="300" t="str"/>
      <x:c r="J98" s="300" t="str"/>
      <x:c r="K98" s="300" t="str"/>
      <x:c r="L98" s="300" t="str"/>
      <x:c r="M98" s="300" t="n">
        <x:f>COUNTIF(C98:L98,"IT")+COUNTIF(C98:L98,"PE")+COUNTIF(C98:L98,"TD")+COUNTIF(C98:L98,"SE")+COUNTIF(C98:L98,"PP")</x:f>
        <x:v>2</x:v>
      </x:c>
      <x:c r="N98" s="300" t="n">
        <x:f>IF(C98&lt;&gt;"",2016,IF(D98&lt;&gt;"",2017,IF(E98&lt;&gt;"",2018,IF(F98&lt;&gt;"",2019,IF(G98&lt;&gt;"",2020,IF(H98&lt;&gt;"",2021,IF(I98&lt;&gt;"",2022,IF(J98&lt;&gt;"",2023,IF(K98&lt;&gt;"",2024,IF(L98&lt;&gt;"",2025,""))))))))))</x:f>
        <x:v>2018</x:v>
      </x:c>
      <x:c r="O98" s="300" t="n">
        <x:f>IF(L98&lt;&gt;"",2025,IF(K98&lt;&gt;"",2024,IF(J98&lt;&gt;"",2023,IF(I98&lt;&gt;"",2022,IF(H98&lt;&gt;"",2021,IF(G98&lt;&gt;"",2020,IF(F98&lt;&gt;"",2019,IF(E98&lt;&gt;"",2018,IF(D98&lt;&gt;"",2017,IF(C98&lt;&gt;"",2016,""))))))))))</x:f>
        <x:v>2019</x:v>
      </x:c>
      <x:c r="P98" s="299" t="str">
        <x:v>Exited flagship; may continue on specialist Hype Cycles</x:v>
      </x:c>
      <x:c r="Q98" s="299" t="str">
        <x:v>Established / specialist</x:v>
      </x:c>
      <x:c r="R98" s="299" t="str">
        <x:v>By 2026 there are credible production uses and vendors, but adoption is concentrated in particular workloads, industries or architectures rather than universal.</x:v>
      </x:c>
      <x:c r="S98" s="299" t="str"/>
      <x:c r="T98" s="300" t="str">
        <x:f>IFERROR(INDEX($C98:$L98,1,MATCH($N98,$C$4:$L$4,0)),"")</x:f>
        <x:v>IT</x:v>
      </x:c>
      <x:c r="U98" s="300" t="n">
        <x:f>IFERROR(VLOOKUP(T98,'Adoption Methodology'!$F$18:$G$22,2,FALSE),"")</x:f>
        <x:v>1</x:v>
      </x:c>
      <x:c r="V98" s="299" t="str">
        <x:f>IFERROR(VLOOKUP(U98,'Adoption Methodology'!$A$5:$C$10,3,FALSE),"")</x:f>
        <x:v>≈1–5% of relevant market; prototypes, pilots or very early deployments</x:v>
      </x:c>
      <x:c r="W98" s="300" t="n">
        <x:f>IFERROR(VLOOKUP(Q98,'Adoption Methodology'!$F$5:$H$12,2,FALSE),"")</x:f>
        <x:v>4</x:v>
      </x:c>
      <x:c r="X98" s="299" t="str">
        <x:f>IFERROR(VLOOKUP(W98,'Adoption Methodology'!$A$5:$C$10,3,FALSE),"")</x:f>
        <x:v>≈35–60% within the addressable segment; mature specialist use</x:v>
      </x:c>
      <x:c r="Y98" s="300" t="n">
        <x:f>IF(OR(U98="",W98=""),"",W98-U98)</x:f>
        <x:v>3</x:v>
      </x:c>
      <x:c r="Z98" s="299" t="str">
        <x:f>IF(Y98="","",IF(Y98&gt;0,"Adoption increased",IF(Y98=0,"Broadly unchanged","Adoption maturity lower")))</x:f>
        <x:v>Adoption increased</x:v>
      </x:c>
      <x:c r="AA98" s="300" t="str">
        <x:f>IFERROR(VLOOKUP(Q98,'Adoption Methodology'!$F$5:$H$12,3,FALSE),"Medium")</x:f>
        <x:v>High</x:v>
      </x:c>
      <x:c r="AB98" s="299" t="str">
        <x:f>IFERROR(VLOOKUP(A98,'Adoption Methodology'!$K$5:$L$14,2,FALSE),IFERROR(VLOOKUP(B98,'Adoption Methodology'!$N$5:$O$16,2,FALSE),"https://www.gartner.com/en/information-technology/technology-adoption-roadmaps"))</x:f>
        <x:v>https://www.gsma.com/about-us/regions/europe/gsma_resources/the-mobile-economy-2026/</x:v>
      </x:c>
      <x:c r="AC98" s="299" t="str">
        <x:f>IF(R98="","Modelled adoption maturity; see Adoption Methodology.",R98&amp;"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99">
      <x:c r="A99" s="299" t="str">
        <x:v>Edge Analytics</x:v>
      </x:c>
      <x:c r="B99" s="299" t="str">
        <x:v>Connectivity / Edge / IoT</x:v>
      </x:c>
      <x:c r="C99" s="300" t="str"/>
      <x:c r="D99" s="300" t="str"/>
      <x:c r="E99" s="300" t="str"/>
      <x:c r="F99" s="300" t="str">
        <x:v>PE</x:v>
      </x:c>
      <x:c r="G99" s="300" t="str"/>
      <x:c r="H99" s="300" t="str"/>
      <x:c r="I99" s="300" t="str"/>
      <x:c r="J99" s="300" t="str"/>
      <x:c r="K99" s="300" t="str"/>
      <x:c r="L99" s="300" t="str"/>
      <x:c r="M99" s="300" t="n">
        <x:f>COUNTIF(C99:L99,"IT")+COUNTIF(C99:L99,"PE")+COUNTIF(C99:L99,"TD")+COUNTIF(C99:L99,"SE")+COUNTIF(C99:L99,"PP")</x:f>
        <x:v>1</x:v>
      </x:c>
      <x:c r="N99" s="300" t="n">
        <x:f>IF(C99&lt;&gt;"",2016,IF(D99&lt;&gt;"",2017,IF(E99&lt;&gt;"",2018,IF(F99&lt;&gt;"",2019,IF(G99&lt;&gt;"",2020,IF(H99&lt;&gt;"",2021,IF(I99&lt;&gt;"",2022,IF(J99&lt;&gt;"",2023,IF(K99&lt;&gt;"",2024,IF(L99&lt;&gt;"",2025,""))))))))))</x:f>
        <x:v>2019</x:v>
      </x:c>
      <x:c r="O99" s="300" t="n">
        <x:f>IF(L99&lt;&gt;"",2025,IF(K99&lt;&gt;"",2024,IF(J99&lt;&gt;"",2023,IF(I99&lt;&gt;"",2022,IF(H99&lt;&gt;"",2021,IF(G99&lt;&gt;"",2020,IF(F99&lt;&gt;"",2019,IF(E99&lt;&gt;"",2018,IF(D99&lt;&gt;"",2017,IF(C99&lt;&gt;"",2016,""))))))))))</x:f>
        <x:v>2019</x:v>
      </x:c>
      <x:c r="P99" s="299" t="str">
        <x:v>Exited flagship; may continue on specialist Hype Cycles</x:v>
      </x:c>
      <x:c r="Q99" s="299" t="str">
        <x:v>Established / specialist</x:v>
      </x:c>
      <x:c r="R99" s="299" t="str">
        <x:v>By 2026 there are credible production uses and vendors, but adoption is concentrated in particular workloads, industries or architectures rather than universal.</x:v>
      </x:c>
      <x:c r="S99" s="299" t="str"/>
      <x:c r="T99" s="300" t="str">
        <x:f>IFERROR(INDEX($C99:$L99,1,MATCH($N99,$C$4:$L$4,0)),"")</x:f>
        <x:v>PE</x:v>
      </x:c>
      <x:c r="U99" s="300" t="n">
        <x:f>IFERROR(VLOOKUP(T99,'Adoption Methodology'!$F$18:$G$22,2,FALSE),"")</x:f>
        <x:v>2</x:v>
      </x:c>
      <x:c r="V99" s="299" t="str">
        <x:f>IFERROR(VLOOKUP(U99,'Adoption Methodology'!$A$5:$C$10,3,FALSE),"")</x:f>
        <x:v>≈5–15% of relevant market; credible deployments but limited scale</x:v>
      </x:c>
      <x:c r="W99" s="300" t="n">
        <x:f>IFERROR(VLOOKUP(Q99,'Adoption Methodology'!$F$5:$H$12,2,FALSE),"")</x:f>
        <x:v>4</x:v>
      </x:c>
      <x:c r="X99" s="299" t="str">
        <x:f>IFERROR(VLOOKUP(W99,'Adoption Methodology'!$A$5:$C$10,3,FALSE),"")</x:f>
        <x:v>≈35–60% within the addressable segment; mature specialist use</x:v>
      </x:c>
      <x:c r="Y99" s="300" t="n">
        <x:f>IF(OR(U99="",W99=""),"",W99-U99)</x:f>
        <x:v>2</x:v>
      </x:c>
      <x:c r="Z99" s="299" t="str">
        <x:f>IF(Y99="","",IF(Y99&gt;0,"Adoption increased",IF(Y99=0,"Broadly unchanged","Adoption maturity lower")))</x:f>
        <x:v>Adoption increased</x:v>
      </x:c>
      <x:c r="AA99" s="300" t="str">
        <x:f>IFERROR(VLOOKUP(Q99,'Adoption Methodology'!$F$5:$H$12,3,FALSE),"Medium")</x:f>
        <x:v>High</x:v>
      </x:c>
      <x:c r="AB99" s="299" t="str">
        <x:f>IFERROR(VLOOKUP(A99,'Adoption Methodology'!$K$5:$L$14,2,FALSE),IFERROR(VLOOKUP(B99,'Adoption Methodology'!$N$5:$O$16,2,FALSE),"https://www.gartner.com/en/information-technology/technology-adoption-roadmaps"))</x:f>
        <x:v>https://www.gsma.com/about-us/regions/europe/gsma_resources/the-mobile-economy-2026/</x:v>
      </x:c>
      <x:c r="AC99" s="299" t="str">
        <x:f>IF(R99="","Modelled adoption maturity; see Adoption Methodology.",R99&amp;"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00">
      <x:c r="A100" s="299" t="str">
        <x:v>Edge Computing</x:v>
      </x:c>
      <x:c r="B100" s="299" t="str">
        <x:v>Connectivity / Edge / IoT</x:v>
      </x:c>
      <x:c r="C100" s="300" t="str"/>
      <x:c r="D100" s="300" t="str">
        <x:v>PE</x:v>
      </x:c>
      <x:c r="E100" s="300" t="str"/>
      <x:c r="F100" s="300" t="str"/>
      <x:c r="G100" s="300" t="str"/>
      <x:c r="H100" s="300" t="str"/>
      <x:c r="I100" s="300" t="str"/>
      <x:c r="J100" s="300" t="str"/>
      <x:c r="K100" s="300" t="str"/>
      <x:c r="L100" s="300" t="str"/>
      <x:c r="M100" s="300" t="n">
        <x:f>COUNTIF(C100:L100,"IT")+COUNTIF(C100:L100,"PE")+COUNTIF(C100:L100,"TD")+COUNTIF(C100:L100,"SE")+COUNTIF(C100:L100,"PP")</x:f>
        <x:v>1</x:v>
      </x:c>
      <x:c r="N100" s="300" t="n">
        <x:f>IF(C100&lt;&gt;"",2016,IF(D100&lt;&gt;"",2017,IF(E100&lt;&gt;"",2018,IF(F100&lt;&gt;"",2019,IF(G100&lt;&gt;"",2020,IF(H100&lt;&gt;"",2021,IF(I100&lt;&gt;"",2022,IF(J100&lt;&gt;"",2023,IF(K100&lt;&gt;"",2024,IF(L100&lt;&gt;"",2025,""))))))))))</x:f>
        <x:v>2017</x:v>
      </x:c>
      <x:c r="O100" s="300" t="n">
        <x:f>IF(L100&lt;&gt;"",2025,IF(K100&lt;&gt;"",2024,IF(J100&lt;&gt;"",2023,IF(I100&lt;&gt;"",2022,IF(H100&lt;&gt;"",2021,IF(G100&lt;&gt;"",2020,IF(F100&lt;&gt;"",2019,IF(E100&lt;&gt;"",2018,IF(D100&lt;&gt;"",2017,IF(C100&lt;&gt;"",2016,""))))))))))</x:f>
        <x:v>2017</x:v>
      </x:c>
      <x:c r="P100" s="299" t="str">
        <x:v>Exited flagship; may continue on specialist Hype Cycles</x:v>
      </x:c>
      <x:c r="Q100" s="299" t="str">
        <x:v>Established / mainstream</x:v>
      </x:c>
      <x:c r="R100" s="299" t="str">
        <x:v>By 2026 this capability is commercially established or embedded in mainstream enterprise/consumer technology, even if the original Gartner label is no longer prominent.</x:v>
      </x:c>
      <x:c r="S100" s="299" t="str"/>
      <x:c r="T100" s="300" t="str">
        <x:f>IFERROR(INDEX($C100:$L100,1,MATCH($N100,$C$4:$L$4,0)),"")</x:f>
        <x:v>PE</x:v>
      </x:c>
      <x:c r="U100" s="300" t="n">
        <x:f>IFERROR(VLOOKUP(T100,'Adoption Methodology'!$F$18:$G$22,2,FALSE),"")</x:f>
        <x:v>2</x:v>
      </x:c>
      <x:c r="V100" s="299" t="str">
        <x:f>IFERROR(VLOOKUP(U100,'Adoption Methodology'!$A$5:$C$10,3,FALSE),"")</x:f>
        <x:v>≈5–15% of relevant market; credible deployments but limited scale</x:v>
      </x:c>
      <x:c r="W100" s="300" t="n">
        <x:f>IFERROR(VLOOKUP(Q100,'Adoption Methodology'!$F$5:$H$12,2,FALSE),"")</x:f>
        <x:v>5</x:v>
      </x:c>
      <x:c r="X100" s="299" t="str">
        <x:f>IFERROR(VLOOKUP(W100,'Adoption Methodology'!$A$5:$C$10,3,FALSE),"")</x:f>
        <x:v>&gt;60% in leading/addressable segments, or effectively a standard/default capability</x:v>
      </x:c>
      <x:c r="Y100" s="300" t="n">
        <x:f>IF(OR(U100="",W100=""),"",W100-U100)</x:f>
        <x:v>3</x:v>
      </x:c>
      <x:c r="Z100" s="299" t="str">
        <x:f>IF(Y100="","",IF(Y100&gt;0,"Adoption increased",IF(Y100=0,"Broadly unchanged","Adoption maturity lower")))</x:f>
        <x:v>Adoption increased</x:v>
      </x:c>
      <x:c r="AA100" s="300" t="str">
        <x:f>IFERROR(VLOOKUP(Q100,'Adoption Methodology'!$F$5:$H$12,3,FALSE),"Medium")</x:f>
        <x:v>High</x:v>
      </x:c>
      <x:c r="AB100" s="299" t="str">
        <x:f>IFERROR(VLOOKUP(A100,'Adoption Methodology'!$K$5:$L$14,2,FALSE),IFERROR(VLOOKUP(B100,'Adoption Methodology'!$N$5:$O$16,2,FALSE),"https://www.gartner.com/en/information-technology/technology-adoption-roadmaps"))</x:f>
        <x:v>https://www.gsma.com/about-us/regions/europe/gsma_resources/the-mobile-economy-2026/</x:v>
      </x:c>
      <x:c r="AC100" s="299" t="str">
        <x:f>IF(R100="","Modelled adoption maturity; see Adoption Methodology.",R100&amp;"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01">
      <x:c r="A101" s="299" t="str">
        <x:v>Embedded AI</x:v>
      </x:c>
      <x:c r="B101" s="299" t="str">
        <x:v>AI / Data / Analytics</x:v>
      </x:c>
      <x:c r="C101" s="300" t="str"/>
      <x:c r="D101" s="300" t="str"/>
      <x:c r="E101" s="300" t="str"/>
      <x:c r="F101" s="300" t="str"/>
      <x:c r="G101" s="300" t="str">
        <x:v>PE</x:v>
      </x:c>
      <x:c r="H101" s="300" t="str"/>
      <x:c r="I101" s="300" t="str"/>
      <x:c r="J101" s="300" t="str"/>
      <x:c r="K101" s="300" t="str"/>
      <x:c r="L101" s="300" t="str"/>
      <x:c r="M101" s="300" t="n">
        <x:f>COUNTIF(C101:L101,"IT")+COUNTIF(C101:L101,"PE")+COUNTIF(C101:L101,"TD")+COUNTIF(C101:L101,"SE")+COUNTIF(C101:L101,"PP")</x:f>
        <x:v>1</x:v>
      </x:c>
      <x:c r="N101" s="300" t="n">
        <x:f>IF(C101&lt;&gt;"",2016,IF(D101&lt;&gt;"",2017,IF(E101&lt;&gt;"",2018,IF(F101&lt;&gt;"",2019,IF(G101&lt;&gt;"",2020,IF(H101&lt;&gt;"",2021,IF(I101&lt;&gt;"",2022,IF(J101&lt;&gt;"",2023,IF(K101&lt;&gt;"",2024,IF(L101&lt;&gt;"",2025,""))))))))))</x:f>
        <x:v>2020</x:v>
      </x:c>
      <x:c r="O101" s="300" t="n">
        <x:f>IF(L101&lt;&gt;"",2025,IF(K101&lt;&gt;"",2024,IF(J101&lt;&gt;"",2023,IF(I101&lt;&gt;"",2022,IF(H101&lt;&gt;"",2021,IF(G101&lt;&gt;"",2020,IF(F101&lt;&gt;"",2019,IF(E101&lt;&gt;"",2018,IF(D101&lt;&gt;"",2017,IF(C101&lt;&gt;"",2016,""))))))))))</x:f>
        <x:v>2020</x:v>
      </x:c>
      <x:c r="P101" s="299" t="str">
        <x:v>Exited flagship; may continue on specialist Hype Cycles</x:v>
      </x:c>
      <x:c r="Q101" s="299" t="str">
        <x:v>Superseded / absorbed</x:v>
      </x:c>
      <x:c r="R101" s="299" t="str">
        <x:v>The concept largely survives inside broader platforms, successor terminology or more specific technology categories rather than as a standalone label.</x:v>
      </x:c>
      <x:c r="S101" s="299" t="str"/>
      <x:c r="T101" s="300" t="str">
        <x:f>IFERROR(INDEX($C101:$L101,1,MATCH($N101,$C$4:$L$4,0)),"")</x:f>
        <x:v>PE</x:v>
      </x:c>
      <x:c r="U101" s="300" t="n">
        <x:f>IFERROR(VLOOKUP(T101,'Adoption Methodology'!$F$18:$G$22,2,FALSE),"")</x:f>
        <x:v>2</x:v>
      </x:c>
      <x:c r="V101" s="299" t="str">
        <x:f>IFERROR(VLOOKUP(U101,'Adoption Methodology'!$A$5:$C$10,3,FALSE),"")</x:f>
        <x:v>≈5–15% of relevant market; credible deployments but limited scale</x:v>
      </x:c>
      <x:c r="W101" s="300" t="n">
        <x:f>IFERROR(VLOOKUP(Q101,'Adoption Methodology'!$F$5:$H$12,2,FALSE),"")</x:f>
        <x:v>3</x:v>
      </x:c>
      <x:c r="X101" s="299" t="str">
        <x:f>IFERROR(VLOOKUP(W101,'Adoption Methodology'!$A$5:$C$10,3,FALSE),"")</x:f>
        <x:v>≈15–35% of relevant market, or capability absorbed into successor platforms</x:v>
      </x:c>
      <x:c r="Y101" s="300" t="n">
        <x:f>IF(OR(U101="",W101=""),"",W101-U101)</x:f>
        <x:v>1</x:v>
      </x:c>
      <x:c r="Z101" s="299" t="str">
        <x:f>IF(Y101="","",IF(Y101&gt;0,"Adoption increased",IF(Y101=0,"Broadly unchanged","Adoption maturity lower")))</x:f>
        <x:v>Adoption increased</x:v>
      </x:c>
      <x:c r="AA101" s="300" t="str">
        <x:f>IFERROR(VLOOKUP(Q101,'Adoption Methodology'!$F$5:$H$12,3,FALSE),"Medium")</x:f>
        <x:v>Medium-Low</x:v>
      </x:c>
      <x:c r="AB101" s="299" t="str">
        <x:f>IFERROR(VLOOKUP(A101,'Adoption Methodology'!$K$5:$L$14,2,FALSE),IFERROR(VLOOKUP(B101,'Adoption Methodology'!$N$5:$O$16,2,FALSE),"https://www.gartner.com/en/information-technology/technology-adoption-roadmaps"))</x:f>
        <x:v>https://www.mckinsey.com/capabilities/quantumblack/our-insights/the-state-of-ai</x:v>
      </x:c>
      <x:c r="AC101" s="299" t="str">
        <x:f>IF(R101="","Modelled adoption maturity; see Adoption Methodology.",R101&amp;"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02">
      <x:c r="A102" s="299" t="str">
        <x:v>Embodied AI</x:v>
      </x:c>
      <x:c r="B102" s="299" t="str">
        <x:v>AI / Data / Analytics</x:v>
      </x:c>
      <x:c r="C102" s="300" t="str"/>
      <x:c r="D102" s="300" t="str"/>
      <x:c r="E102" s="300" t="str"/>
      <x:c r="F102" s="300" t="str"/>
      <x:c r="G102" s="300" t="str"/>
      <x:c r="H102" s="300" t="str"/>
      <x:c r="I102" s="300" t="str"/>
      <x:c r="J102" s="300" t="str"/>
      <x:c r="K102" s="300" t="str"/>
      <x:c r="L102" s="300" t="str">
        <x:v>IT</x:v>
      </x:c>
      <x:c r="M102" s="300" t="n">
        <x:f>COUNTIF(C102:L102,"IT")+COUNTIF(C102:L102,"PE")+COUNTIF(C102:L102,"TD")+COUNTIF(C102:L102,"SE")+COUNTIF(C102:L102,"PP")</x:f>
        <x:v>1</x:v>
      </x:c>
      <x:c r="N102" s="300" t="n">
        <x:f>IF(C102&lt;&gt;"",2016,IF(D102&lt;&gt;"",2017,IF(E102&lt;&gt;"",2018,IF(F102&lt;&gt;"",2019,IF(G102&lt;&gt;"",2020,IF(H102&lt;&gt;"",2021,IF(I102&lt;&gt;"",2022,IF(J102&lt;&gt;"",2023,IF(K102&lt;&gt;"",2024,IF(L102&lt;&gt;"",2025,""))))))))))</x:f>
        <x:v>2025</x:v>
      </x:c>
      <x:c r="O102" s="300" t="n">
        <x:f>IF(L102&lt;&gt;"",2025,IF(K102&lt;&gt;"",2024,IF(J102&lt;&gt;"",2023,IF(I102&lt;&gt;"",2022,IF(H102&lt;&gt;"",2021,IF(G102&lt;&gt;"",2020,IF(F102&lt;&gt;"",2019,IF(E102&lt;&gt;"",2018,IF(D102&lt;&gt;"",2017,IF(C102&lt;&gt;"",2016,""))))))))))</x:f>
        <x:v>2025</x:v>
      </x:c>
      <x:c r="P102" s="299" t="str">
        <x:v>Still on the 2025 flagship</x:v>
      </x:c>
      <x:c r="Q102" s="299" t="str">
        <x:v>Still emerging / long-horizon</x:v>
      </x:c>
      <x:c r="R102" s="299" t="str">
        <x:v>By 2026 the technology remains emerging, research-heavy or constrained by economics, engineering, regulation or deployment scale.</x:v>
      </x:c>
      <x:c r="S102" s="299" t="str"/>
      <x:c r="T102" s="300" t="str">
        <x:f>IFERROR(INDEX($C102:$L102,1,MATCH($N102,$C$4:$L$4,0)),"")</x:f>
        <x:v>IT</x:v>
      </x:c>
      <x:c r="U102" s="300" t="n">
        <x:f>IFERROR(VLOOKUP(T102,'Adoption Methodology'!$F$18:$G$22,2,FALSE),"")</x:f>
        <x:v>1</x:v>
      </x:c>
      <x:c r="V102" s="299" t="str">
        <x:f>IFERROR(VLOOKUP(U102,'Adoption Methodology'!$A$5:$C$10,3,FALSE),"")</x:f>
        <x:v>≈1–5% of relevant market; prototypes, pilots or very early deployments</x:v>
      </x:c>
      <x:c r="W102" s="300" t="n">
        <x:f>IFERROR(VLOOKUP(Q102,'Adoption Methodology'!$F$5:$H$12,2,FALSE),"")</x:f>
        <x:v>1</x:v>
      </x:c>
      <x:c r="X102" s="299" t="str">
        <x:f>IFERROR(VLOOKUP(W102,'Adoption Methodology'!$A$5:$C$10,3,FALSE),"")</x:f>
        <x:v>≈1–5% of relevant market; prototypes, pilots or very early deployments</x:v>
      </x:c>
      <x:c r="Y102" s="300" t="n">
        <x:f>IF(OR(U102="",W102=""),"",W102-U102)</x:f>
        <x:v>0</x:v>
      </x:c>
      <x:c r="Z102" s="299" t="str">
        <x:f>IF(Y102="","",IF(Y102&gt;0,"Adoption increased",IF(Y102=0,"Broadly unchanged","Adoption maturity lower")))</x:f>
      </x:c>
      <x:c r="AA102" s="300" t="str">
        <x:f>IFERROR(VLOOKUP(Q102,'Adoption Methodology'!$F$5:$H$12,3,FALSE),"Medium")</x:f>
        <x:v>Medium</x:v>
      </x:c>
      <x:c r="AB102" s="299" t="str">
        <x:f>IFERROR(VLOOKUP(A102,'Adoption Methodology'!$K$5:$L$14,2,FALSE),IFERROR(VLOOKUP(B102,'Adoption Methodology'!$N$5:$O$16,2,FALSE),"https://www.gartner.com/en/information-technology/technology-adoption-roadmaps"))</x:f>
        <x:v>https://www.mckinsey.com/capabilities/quantumblack/our-insights/the-state-of-ai</x:v>
      </x:c>
      <x:c r="AC102" s="299" t="str">
        <x:f>IF(R102="","Modelled adoption maturity; see Adoption Methodology.",R102&amp;"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03">
      <x:c r="A103" s="299" t="str">
        <x:v>Emotion AI</x:v>
      </x:c>
      <x:c r="B103" s="299" t="str">
        <x:v>AI / Data / Analytics</x:v>
      </x:c>
      <x:c r="C103" s="300" t="str"/>
      <x:c r="D103" s="300" t="str"/>
      <x:c r="E103" s="300" t="str"/>
      <x:c r="F103" s="300" t="str">
        <x:v>IT</x:v>
      </x:c>
      <x:c r="G103" s="300" t="str"/>
      <x:c r="H103" s="300" t="str"/>
      <x:c r="I103" s="300" t="str"/>
      <x:c r="J103" s="300" t="str"/>
      <x:c r="K103" s="300" t="str"/>
      <x:c r="L103" s="300" t="str"/>
      <x:c r="M103" s="300" t="n">
        <x:f>COUNTIF(C103:L103,"IT")+COUNTIF(C103:L103,"PE")+COUNTIF(C103:L103,"TD")+COUNTIF(C103:L103,"SE")+COUNTIF(C103:L103,"PP")</x:f>
        <x:v>1</x:v>
      </x:c>
      <x:c r="N103" s="300" t="n">
        <x:f>IF(C103&lt;&gt;"",2016,IF(D103&lt;&gt;"",2017,IF(E103&lt;&gt;"",2018,IF(F103&lt;&gt;"",2019,IF(G103&lt;&gt;"",2020,IF(H103&lt;&gt;"",2021,IF(I103&lt;&gt;"",2022,IF(J103&lt;&gt;"",2023,IF(K103&lt;&gt;"",2024,IF(L103&lt;&gt;"",2025,""))))))))))</x:f>
        <x:v>2019</x:v>
      </x:c>
      <x:c r="O103" s="300" t="n">
        <x:f>IF(L103&lt;&gt;"",2025,IF(K103&lt;&gt;"",2024,IF(J103&lt;&gt;"",2023,IF(I103&lt;&gt;"",2022,IF(H103&lt;&gt;"",2021,IF(G103&lt;&gt;"",2020,IF(F103&lt;&gt;"",2019,IF(E103&lt;&gt;"",2018,IF(D103&lt;&gt;"",2017,IF(C103&lt;&gt;"",2016,""))))))))))</x:f>
        <x:v>2019</x:v>
      </x:c>
      <x:c r="P103" s="299" t="str">
        <x:v>Exited flagship; may continue on specialist Hype Cycles</x:v>
      </x:c>
      <x:c r="Q103" s="299" t="str">
        <x:v>Superseded / absorbed</x:v>
      </x:c>
      <x:c r="R103" s="299" t="str">
        <x:v>The concept largely survives inside broader platforms, successor terminology or more specific technology categories rather than as a standalone label.</x:v>
      </x:c>
      <x:c r="S103" s="299" t="str"/>
      <x:c r="T103" s="300" t="str">
        <x:f>IFERROR(INDEX($C103:$L103,1,MATCH($N103,$C$4:$L$4,0)),"")</x:f>
        <x:v>IT</x:v>
      </x:c>
      <x:c r="U103" s="300" t="n">
        <x:f>IFERROR(VLOOKUP(T103,'Adoption Methodology'!$F$18:$G$22,2,FALSE),"")</x:f>
        <x:v>1</x:v>
      </x:c>
      <x:c r="V103" s="299" t="str">
        <x:f>IFERROR(VLOOKUP(U103,'Adoption Methodology'!$A$5:$C$10,3,FALSE),"")</x:f>
        <x:v>≈1–5% of relevant market; prototypes, pilots or very early deployments</x:v>
      </x:c>
      <x:c r="W103" s="300" t="n">
        <x:f>IFERROR(VLOOKUP(Q103,'Adoption Methodology'!$F$5:$H$12,2,FALSE),"")</x:f>
        <x:v>3</x:v>
      </x:c>
      <x:c r="X103" s="299" t="str">
        <x:f>IFERROR(VLOOKUP(W103,'Adoption Methodology'!$A$5:$C$10,3,FALSE),"")</x:f>
        <x:v>≈15–35% of relevant market, or capability absorbed into successor platforms</x:v>
      </x:c>
      <x:c r="Y103" s="300" t="n">
        <x:f>IF(OR(U103="",W103=""),"",W103-U103)</x:f>
        <x:v>2</x:v>
      </x:c>
      <x:c r="Z103" s="299" t="str">
        <x:f>IF(Y103="","",IF(Y103&gt;0,"Adoption increased",IF(Y103=0,"Broadly unchanged","Adoption maturity lower")))</x:f>
        <x:v>Adoption increased</x:v>
      </x:c>
      <x:c r="AA103" s="300" t="str">
        <x:f>IFERROR(VLOOKUP(Q103,'Adoption Methodology'!$F$5:$H$12,3,FALSE),"Medium")</x:f>
        <x:v>Medium-Low</x:v>
      </x:c>
      <x:c r="AB103" s="299" t="str">
        <x:f>IFERROR(VLOOKUP(A103,'Adoption Methodology'!$K$5:$L$14,2,FALSE),IFERROR(VLOOKUP(B103,'Adoption Methodology'!$N$5:$O$16,2,FALSE),"https://www.gartner.com/en/information-technology/technology-adoption-roadmaps"))</x:f>
        <x:v>https://www.mckinsey.com/capabilities/quantumblack/our-insights/the-state-of-ai</x:v>
      </x:c>
      <x:c r="AC103" s="299" t="str">
        <x:f>IF(R103="","Modelled adoption maturity; see Adoption Methodology.",R103&amp;"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04">
      <x:c r="A104" s="299" t="str">
        <x:v>Employee Communications Applications</x:v>
      </x:c>
      <x:c r="B104" s="299" t="str">
        <x:v>Business / Emerging Technology</x:v>
      </x:c>
      <x:c r="C104" s="300" t="str"/>
      <x:c r="D104" s="300" t="str"/>
      <x:c r="E104" s="300" t="str"/>
      <x:c r="F104" s="300" t="str"/>
      <x:c r="G104" s="300" t="str"/>
      <x:c r="H104" s="300" t="str">
        <x:v>PE</x:v>
      </x:c>
      <x:c r="I104" s="300" t="str"/>
      <x:c r="J104" s="300" t="str"/>
      <x:c r="K104" s="300" t="str"/>
      <x:c r="L104" s="300" t="str"/>
      <x:c r="M104" s="300" t="n">
        <x:f>COUNTIF(C104:L104,"IT")+COUNTIF(C104:L104,"PE")+COUNTIF(C104:L104,"TD")+COUNTIF(C104:L104,"SE")+COUNTIF(C104:L104,"PP")</x:f>
        <x:v>1</x:v>
      </x:c>
      <x:c r="N104" s="300" t="n">
        <x:f>IF(C104&lt;&gt;"",2016,IF(D104&lt;&gt;"",2017,IF(E104&lt;&gt;"",2018,IF(F104&lt;&gt;"",2019,IF(G104&lt;&gt;"",2020,IF(H104&lt;&gt;"",2021,IF(I104&lt;&gt;"",2022,IF(J104&lt;&gt;"",2023,IF(K104&lt;&gt;"",2024,IF(L104&lt;&gt;"",2025,""))))))))))</x:f>
        <x:v>2021</x:v>
      </x:c>
      <x:c r="O104" s="300" t="n">
        <x:f>IF(L104&lt;&gt;"",2025,IF(K104&lt;&gt;"",2024,IF(J104&lt;&gt;"",2023,IF(I104&lt;&gt;"",2022,IF(H104&lt;&gt;"",2021,IF(G104&lt;&gt;"",2020,IF(F104&lt;&gt;"",2019,IF(E104&lt;&gt;"",2018,IF(D104&lt;&gt;"",2017,IF(C104&lt;&gt;"",2016,""))))))))))</x:f>
        <x:v>2021</x:v>
      </x:c>
      <x:c r="P104" s="299" t="str">
        <x:v>Exited flagship; may continue on specialist Hype Cycles</x:v>
      </x:c>
      <x:c r="Q104" s="299" t="str">
        <x:v>Exited flagship / evolving</x:v>
      </x:c>
      <x:c r="R104" s="299" t="str">
        <x:v>The label left the flagship cycle; Gartner’s flagship is deliberately dynamic, so exit should not be read as failure without checking specialist Hype Cycles.</x:v>
      </x:c>
      <x:c r="S104" s="299" t="str"/>
      <x:c r="T104" s="300" t="str">
        <x:f>IFERROR(INDEX($C104:$L104,1,MATCH($N104,$C$4:$L$4,0)),"")</x:f>
        <x:v>PE</x:v>
      </x:c>
      <x:c r="U104" s="300" t="n">
        <x:f>IFERROR(VLOOKUP(T104,'Adoption Methodology'!$F$18:$G$22,2,FALSE),"")</x:f>
        <x:v>2</x:v>
      </x:c>
      <x:c r="V104" s="299" t="str">
        <x:f>IFERROR(VLOOKUP(U104,'Adoption Methodology'!$A$5:$C$10,3,FALSE),"")</x:f>
        <x:v>≈5–15% of relevant market; credible deployments but limited scale</x:v>
      </x:c>
      <x:c r="W104" s="300" t="n">
        <x:f>IFERROR(VLOOKUP(Q104,'Adoption Methodology'!$F$5:$H$12,2,FALSE),"")</x:f>
        <x:v>2</x:v>
      </x:c>
      <x:c r="X104" s="299" t="str">
        <x:f>IFERROR(VLOOKUP(W104,'Adoption Methodology'!$A$5:$C$10,3,FALSE),"")</x:f>
        <x:v>≈5–15% of relevant market; credible deployments but limited scale</x:v>
      </x:c>
      <x:c r="Y104" s="300" t="n">
        <x:f>IF(OR(U104="",W104=""),"",W104-U104)</x:f>
        <x:v>0</x:v>
      </x:c>
      <x:c r="Z104" s="299" t="str">
        <x:f>IF(Y104="","",IF(Y104&gt;0,"Adoption increased",IF(Y104=0,"Broadly unchanged","Adoption maturity lower")))</x:f>
      </x:c>
      <x:c r="AA104" s="300" t="str">
        <x:f>IFERROR(VLOOKUP(Q104,'Adoption Methodology'!$F$5:$H$12,3,FALSE),"Medium")</x:f>
        <x:v>Medium-Low</x:v>
      </x:c>
      <x:c r="AB104" s="299" t="str">
        <x:f>IFERROR(VLOOKUP(A104,'Adoption Methodology'!$K$5:$L$14,2,FALSE),IFERROR(VLOOKUP(B104,'Adoption Methodology'!$N$5:$O$16,2,FALSE),"https://www.gartner.com/en/information-technology/technology-adoption-roadmaps"))</x:f>
        <x:v>https://www.gartner.com/en/information-technology/technology-adoption-roadmaps</x:v>
      </x:c>
      <x:c r="AC104" s="299" t="str">
        <x:f>IF(R104="","Modelled adoption maturity; see Adoption Methodology.",R104&amp;"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05">
      <x:c r="A105" s="299" t="str">
        <x:v>Enterprise Taxonomy and Ontology Management</x:v>
      </x:c>
      <x:c r="B105" s="299" t="str">
        <x:v>Business / Emerging Technology</x:v>
      </x:c>
      <x:c r="C105" s="300" t="str">
        <x:v>TD</x:v>
      </x:c>
      <x:c r="D105" s="300" t="str">
        <x:v>TD</x:v>
      </x:c>
      <x:c r="E105" s="300" t="str"/>
      <x:c r="F105" s="300" t="str"/>
      <x:c r="G105" s="300" t="str"/>
      <x:c r="H105" s="300" t="str"/>
      <x:c r="I105" s="300" t="str"/>
      <x:c r="J105" s="300" t="str"/>
      <x:c r="K105" s="300" t="str"/>
      <x:c r="L105" s="300" t="str"/>
      <x:c r="M105" s="300" t="n">
        <x:f>COUNTIF(C105:L105,"IT")+COUNTIF(C105:L105,"PE")+COUNTIF(C105:L105,"TD")+COUNTIF(C105:L105,"SE")+COUNTIF(C105:L105,"PP")</x:f>
        <x:v>2</x:v>
      </x:c>
      <x:c r="N105" s="300" t="n">
        <x:f>IF(C105&lt;&gt;"",2016,IF(D105&lt;&gt;"",2017,IF(E105&lt;&gt;"",2018,IF(F105&lt;&gt;"",2019,IF(G105&lt;&gt;"",2020,IF(H105&lt;&gt;"",2021,IF(I105&lt;&gt;"",2022,IF(J105&lt;&gt;"",2023,IF(K105&lt;&gt;"",2024,IF(L105&lt;&gt;"",2025,""))))))))))</x:f>
        <x:v>2016</x:v>
      </x:c>
      <x:c r="O105" s="300" t="n">
        <x:f>IF(L105&lt;&gt;"",2025,IF(K105&lt;&gt;"",2024,IF(J105&lt;&gt;"",2023,IF(I105&lt;&gt;"",2022,IF(H105&lt;&gt;"",2021,IF(G105&lt;&gt;"",2020,IF(F105&lt;&gt;"",2019,IF(E105&lt;&gt;"",2018,IF(D105&lt;&gt;"",2017,IF(C105&lt;&gt;"",2016,""))))))))))</x:f>
        <x:v>2017</x:v>
      </x:c>
      <x:c r="P105" s="299" t="str">
        <x:v>Exited flagship; may continue on specialist Hype Cycles</x:v>
      </x:c>
      <x:c r="Q105" s="299" t="str">
        <x:v>Superseded / absorbed</x:v>
      </x:c>
      <x:c r="R105" s="299" t="str">
        <x:v>The concept largely survives inside broader platforms, successor terminology or more specific technology categories rather than as a standalone label.</x:v>
      </x:c>
      <x:c r="S105" s="299" t="str"/>
      <x:c r="T105" s="300" t="str">
        <x:f>IFERROR(INDEX($C105:$L105,1,MATCH($N105,$C$4:$L$4,0)),"")</x:f>
        <x:v>TD</x:v>
      </x:c>
      <x:c r="U105" s="300" t="n">
        <x:f>IFERROR(VLOOKUP(T105,'Adoption Methodology'!$F$18:$G$22,2,FALSE),"")</x:f>
        <x:v>2</x:v>
      </x:c>
      <x:c r="V105" s="299" t="str">
        <x:f>IFERROR(VLOOKUP(U105,'Adoption Methodology'!$A$5:$C$10,3,FALSE),"")</x:f>
        <x:v>≈5–15% of relevant market; credible deployments but limited scale</x:v>
      </x:c>
      <x:c r="W105" s="300" t="n">
        <x:f>IFERROR(VLOOKUP(Q105,'Adoption Methodology'!$F$5:$H$12,2,FALSE),"")</x:f>
        <x:v>3</x:v>
      </x:c>
      <x:c r="X105" s="299" t="str">
        <x:f>IFERROR(VLOOKUP(W105,'Adoption Methodology'!$A$5:$C$10,3,FALSE),"")</x:f>
        <x:v>≈15–35% of relevant market, or capability absorbed into successor platforms</x:v>
      </x:c>
      <x:c r="Y105" s="300" t="n">
        <x:f>IF(OR(U105="",W105=""),"",W105-U105)</x:f>
        <x:v>1</x:v>
      </x:c>
      <x:c r="Z105" s="299" t="str">
        <x:f>IF(Y105="","",IF(Y105&gt;0,"Adoption increased",IF(Y105=0,"Broadly unchanged","Adoption maturity lower")))</x:f>
        <x:v>Adoption increased</x:v>
      </x:c>
      <x:c r="AA105" s="300" t="str">
        <x:f>IFERROR(VLOOKUP(Q105,'Adoption Methodology'!$F$5:$H$12,3,FALSE),"Medium")</x:f>
        <x:v>Medium-Low</x:v>
      </x:c>
      <x:c r="AB105" s="299" t="str">
        <x:f>IFERROR(VLOOKUP(A105,'Adoption Methodology'!$K$5:$L$14,2,FALSE),IFERROR(VLOOKUP(B105,'Adoption Methodology'!$N$5:$O$16,2,FALSE),"https://www.gartner.com/en/information-technology/technology-adoption-roadmaps"))</x:f>
        <x:v>https://www.gartner.com/en/information-technology/technology-adoption-roadmaps</x:v>
      </x:c>
      <x:c r="AC105" s="299" t="str">
        <x:f>IF(R105="","Modelled adoption maturity; see Adoption Methodology.",R105&amp;"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06">
      <x:c r="A106" s="299" t="str">
        <x:v>Exoskeleton</x:v>
      </x:c>
      <x:c r="B106" s="299" t="str">
        <x:v>Human Augmentation / Future of Work</x:v>
      </x:c>
      <x:c r="C106" s="300" t="str"/>
      <x:c r="D106" s="300" t="str"/>
      <x:c r="E106" s="300" t="str">
        <x:v>IT</x:v>
      </x:c>
      <x:c r="F106" s="300" t="str"/>
      <x:c r="G106" s="300" t="str"/>
      <x:c r="H106" s="300" t="str"/>
      <x:c r="I106" s="300" t="str"/>
      <x:c r="J106" s="300" t="str"/>
      <x:c r="K106" s="300" t="str"/>
      <x:c r="L106" s="300" t="str"/>
      <x:c r="M106" s="300" t="n">
        <x:f>COUNTIF(C106:L106,"IT")+COUNTIF(C106:L106,"PE")+COUNTIF(C106:L106,"TD")+COUNTIF(C106:L106,"SE")+COUNTIF(C106:L106,"PP")</x:f>
        <x:v>1</x:v>
      </x:c>
      <x:c r="N106" s="300" t="n">
        <x:f>IF(C106&lt;&gt;"",2016,IF(D106&lt;&gt;"",2017,IF(E106&lt;&gt;"",2018,IF(F106&lt;&gt;"",2019,IF(G106&lt;&gt;"",2020,IF(H106&lt;&gt;"",2021,IF(I106&lt;&gt;"",2022,IF(J106&lt;&gt;"",2023,IF(K106&lt;&gt;"",2024,IF(L106&lt;&gt;"",2025,""))))))))))</x:f>
        <x:v>2018</x:v>
      </x:c>
      <x:c r="O106" s="300" t="n">
        <x:f>IF(L106&lt;&gt;"",2025,IF(K106&lt;&gt;"",2024,IF(J106&lt;&gt;"",2023,IF(I106&lt;&gt;"",2022,IF(H106&lt;&gt;"",2021,IF(G106&lt;&gt;"",2020,IF(F106&lt;&gt;"",2019,IF(E106&lt;&gt;"",2018,IF(D106&lt;&gt;"",2017,IF(C106&lt;&gt;"",2016,""))))))))))</x:f>
        <x:v>2018</x:v>
      </x:c>
      <x:c r="P106" s="299" t="str">
        <x:v>Exited flagship; may continue on specialist Hype Cycles</x:v>
      </x:c>
      <x:c r="Q106" s="299" t="str">
        <x:v>Established / specialist</x:v>
      </x:c>
      <x:c r="R106" s="299" t="str">
        <x:v>By 2026 there are credible production uses and vendors, but adoption is concentrated in particular workloads, industries or architectures rather than universal.</x:v>
      </x:c>
      <x:c r="S106" s="299" t="str"/>
      <x:c r="T106" s="300" t="str">
        <x:f>IFERROR(INDEX($C106:$L106,1,MATCH($N106,$C$4:$L$4,0)),"")</x:f>
        <x:v>IT</x:v>
      </x:c>
      <x:c r="U106" s="300" t="n">
        <x:f>IFERROR(VLOOKUP(T106,'Adoption Methodology'!$F$18:$G$22,2,FALSE),"")</x:f>
        <x:v>1</x:v>
      </x:c>
      <x:c r="V106" s="299" t="str">
        <x:f>IFERROR(VLOOKUP(U106,'Adoption Methodology'!$A$5:$C$10,3,FALSE),"")</x:f>
        <x:v>≈1–5% of relevant market; prototypes, pilots or very early deployments</x:v>
      </x:c>
      <x:c r="W106" s="300" t="n">
        <x:f>IFERROR(VLOOKUP(Q106,'Adoption Methodology'!$F$5:$H$12,2,FALSE),"")</x:f>
        <x:v>4</x:v>
      </x:c>
      <x:c r="X106" s="299" t="str">
        <x:f>IFERROR(VLOOKUP(W106,'Adoption Methodology'!$A$5:$C$10,3,FALSE),"")</x:f>
        <x:v>≈35–60% within the addressable segment; mature specialist use</x:v>
      </x:c>
      <x:c r="Y106" s="300" t="n">
        <x:f>IF(OR(U106="",W106=""),"",W106-U106)</x:f>
        <x:v>3</x:v>
      </x:c>
      <x:c r="Z106" s="299" t="str">
        <x:f>IF(Y106="","",IF(Y106&gt;0,"Adoption increased",IF(Y106=0,"Broadly unchanged","Adoption maturity lower")))</x:f>
        <x:v>Adoption increased</x:v>
      </x:c>
      <x:c r="AA106" s="300" t="str">
        <x:f>IFERROR(VLOOKUP(Q106,'Adoption Methodology'!$F$5:$H$12,3,FALSE),"Medium")</x:f>
        <x:v>High</x:v>
      </x:c>
      <x:c r="AB106" s="299" t="str">
        <x:f>IFERROR(VLOOKUP(A106,'Adoption Methodology'!$K$5:$L$14,2,FALSE),IFERROR(VLOOKUP(B106,'Adoption Methodology'!$N$5:$O$16,2,FALSE),"https://www.gartner.com/en/information-technology/technology-adoption-roadmaps"))</x:f>
        <x:v>https://www.gartner.com/en/information-technology/technology-adoption-roadmaps</x:v>
      </x:c>
      <x:c r="AC106" s="299" t="str">
        <x:f>IF(R106="","Modelled adoption maturity; see Adoption Methodology.",R106&amp;"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07">
      <x:c r="A107" s="299" t="str">
        <x:v>Explainable AI</x:v>
      </x:c>
      <x:c r="B107" s="299" t="str">
        <x:v>AI / Data / Analytics</x:v>
      </x:c>
      <x:c r="C107" s="300" t="str"/>
      <x:c r="D107" s="300" t="str"/>
      <x:c r="E107" s="300" t="str"/>
      <x:c r="F107" s="300" t="str">
        <x:v>IT</x:v>
      </x:c>
      <x:c r="G107" s="300" t="str">
        <x:v>PE</x:v>
      </x:c>
      <x:c r="H107" s="300" t="str"/>
      <x:c r="I107" s="300" t="str"/>
      <x:c r="J107" s="300" t="str"/>
      <x:c r="K107" s="300" t="str"/>
      <x:c r="L107" s="300" t="str"/>
      <x:c r="M107" s="300" t="n">
        <x:f>COUNTIF(C107:L107,"IT")+COUNTIF(C107:L107,"PE")+COUNTIF(C107:L107,"TD")+COUNTIF(C107:L107,"SE")+COUNTIF(C107:L107,"PP")</x:f>
        <x:v>2</x:v>
      </x:c>
      <x:c r="N107" s="300" t="n">
        <x:f>IF(C107&lt;&gt;"",2016,IF(D107&lt;&gt;"",2017,IF(E107&lt;&gt;"",2018,IF(F107&lt;&gt;"",2019,IF(G107&lt;&gt;"",2020,IF(H107&lt;&gt;"",2021,IF(I107&lt;&gt;"",2022,IF(J107&lt;&gt;"",2023,IF(K107&lt;&gt;"",2024,IF(L107&lt;&gt;"",2025,""))))))))))</x:f>
        <x:v>2019</x:v>
      </x:c>
      <x:c r="O107" s="300" t="n">
        <x:f>IF(L107&lt;&gt;"",2025,IF(K107&lt;&gt;"",2024,IF(J107&lt;&gt;"",2023,IF(I107&lt;&gt;"",2022,IF(H107&lt;&gt;"",2021,IF(G107&lt;&gt;"",2020,IF(F107&lt;&gt;"",2019,IF(E107&lt;&gt;"",2018,IF(D107&lt;&gt;"",2017,IF(C107&lt;&gt;"",2016,""))))))))))</x:f>
        <x:v>2020</x:v>
      </x:c>
      <x:c r="P107" s="299" t="str">
        <x:v>Exited flagship; may continue on specialist Hype Cycles</x:v>
      </x:c>
      <x:c r="Q107" s="299" t="str">
        <x:v>Exited flagship / specialist</x:v>
      </x:c>
      <x:c r="R107" s="299" t="str">
        <x:v>The label left the flagship cycle and is now best viewed as specialist, absorbed into adjacent categories, or lower-profile rather than a simple success/failure.</x:v>
      </x:c>
      <x:c r="S107" s="299" t="str"/>
      <x:c r="T107" s="300" t="str">
        <x:f>IFERROR(INDEX($C107:$L107,1,MATCH($N107,$C$4:$L$4,0)),"")</x:f>
        <x:v>IT</x:v>
      </x:c>
      <x:c r="U107" s="300" t="n">
        <x:f>IFERROR(VLOOKUP(T107,'Adoption Methodology'!$F$18:$G$22,2,FALSE),"")</x:f>
        <x:v>1</x:v>
      </x:c>
      <x:c r="V107" s="299" t="str">
        <x:f>IFERROR(VLOOKUP(U107,'Adoption Methodology'!$A$5:$C$10,3,FALSE),"")</x:f>
        <x:v>≈1–5% of relevant market; prototypes, pilots or very early deployments</x:v>
      </x:c>
      <x:c r="W107" s="300" t="n">
        <x:f>IFERROR(VLOOKUP(Q107,'Adoption Methodology'!$F$5:$H$12,2,FALSE),"")</x:f>
        <x:v>3</x:v>
      </x:c>
      <x:c r="X107" s="299" t="str">
        <x:f>IFERROR(VLOOKUP(W107,'Adoption Methodology'!$A$5:$C$10,3,FALSE),"")</x:f>
        <x:v>≈15–35% of relevant market, or capability absorbed into successor platforms</x:v>
      </x:c>
      <x:c r="Y107" s="300" t="n">
        <x:f>IF(OR(U107="",W107=""),"",W107-U107)</x:f>
        <x:v>2</x:v>
      </x:c>
      <x:c r="Z107" s="299" t="str">
        <x:f>IF(Y107="","",IF(Y107&gt;0,"Adoption increased",IF(Y107=0,"Broadly unchanged","Adoption maturity lower")))</x:f>
        <x:v>Adoption increased</x:v>
      </x:c>
      <x:c r="AA107" s="300" t="str">
        <x:f>IFERROR(VLOOKUP(Q107,'Adoption Methodology'!$F$5:$H$12,3,FALSE),"Medium")</x:f>
        <x:v>Medium</x:v>
      </x:c>
      <x:c r="AB107" s="299" t="str">
        <x:f>IFERROR(VLOOKUP(A107,'Adoption Methodology'!$K$5:$L$14,2,FALSE),IFERROR(VLOOKUP(B107,'Adoption Methodology'!$N$5:$O$16,2,FALSE),"https://www.gartner.com/en/information-technology/technology-adoption-roadmaps"))</x:f>
        <x:v>https://www.mckinsey.com/capabilities/quantumblack/our-insights/the-state-of-ai</x:v>
      </x:c>
      <x:c r="AC107" s="299" t="str">
        <x:f>IF(R107="","Modelled adoption maturity; see Adoption Methodology.",R107&amp;"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08">
      <x:c r="A108" s="299" t="str">
        <x:v>Federated Machine Learning</x:v>
      </x:c>
      <x:c r="B108" s="299" t="str">
        <x:v>AI / Data / Analytics</x:v>
      </x:c>
      <x:c r="C108" s="300" t="str"/>
      <x:c r="D108" s="300" t="str"/>
      <x:c r="E108" s="300" t="str"/>
      <x:c r="F108" s="300" t="str"/>
      <x:c r="G108" s="300" t="str"/>
      <x:c r="H108" s="300" t="str"/>
      <x:c r="I108" s="300" t="str"/>
      <x:c r="J108" s="300" t="str">
        <x:v>IT</x:v>
      </x:c>
      <x:c r="K108" s="300" t="str">
        <x:v>IT</x:v>
      </x:c>
      <x:c r="L108" s="300" t="str"/>
      <x:c r="M108" s="300" t="n">
        <x:f>COUNTIF(C108:L108,"IT")+COUNTIF(C108:L108,"PE")+COUNTIF(C108:L108,"TD")+COUNTIF(C108:L108,"SE")+COUNTIF(C108:L108,"PP")</x:f>
        <x:v>2</x:v>
      </x:c>
      <x:c r="N108" s="300" t="n">
        <x:f>IF(C108&lt;&gt;"",2016,IF(D108&lt;&gt;"",2017,IF(E108&lt;&gt;"",2018,IF(F108&lt;&gt;"",2019,IF(G108&lt;&gt;"",2020,IF(H108&lt;&gt;"",2021,IF(I108&lt;&gt;"",2022,IF(J108&lt;&gt;"",2023,IF(K108&lt;&gt;"",2024,IF(L108&lt;&gt;"",2025,""))))))))))</x:f>
        <x:v>2023</x:v>
      </x:c>
      <x:c r="O108" s="300" t="n">
        <x:f>IF(L108&lt;&gt;"",2025,IF(K108&lt;&gt;"",2024,IF(J108&lt;&gt;"",2023,IF(I108&lt;&gt;"",2022,IF(H108&lt;&gt;"",2021,IF(G108&lt;&gt;"",2020,IF(F108&lt;&gt;"",2019,IF(E108&lt;&gt;"",2018,IF(D108&lt;&gt;"",2017,IF(C108&lt;&gt;"",2016,""))))))))))</x:f>
        <x:v>2024</x:v>
      </x:c>
      <x:c r="P108" s="299" t="str">
        <x:v>Exited flagship; may continue on specialist Hype Cycles</x:v>
      </x:c>
      <x:c r="Q108" s="299" t="str">
        <x:v>Established / mainstream</x:v>
      </x:c>
      <x:c r="R108" s="299" t="str">
        <x:v>By 2026 this capability is commercially established or embedded in mainstream enterprise/consumer technology, even if the original Gartner label is no longer prominent.</x:v>
      </x:c>
      <x:c r="S108" s="299" t="str"/>
      <x:c r="T108" s="300" t="str">
        <x:f>IFERROR(INDEX($C108:$L108,1,MATCH($N108,$C$4:$L$4,0)),"")</x:f>
        <x:v>IT</x:v>
      </x:c>
      <x:c r="U108" s="300" t="n">
        <x:f>IFERROR(VLOOKUP(T108,'Adoption Methodology'!$F$18:$G$22,2,FALSE),"")</x:f>
        <x:v>1</x:v>
      </x:c>
      <x:c r="V108" s="299" t="str">
        <x:f>IFERROR(VLOOKUP(U108,'Adoption Methodology'!$A$5:$C$10,3,FALSE),"")</x:f>
        <x:v>≈1–5% of relevant market; prototypes, pilots or very early deployments</x:v>
      </x:c>
      <x:c r="W108" s="300" t="n">
        <x:f>IFERROR(VLOOKUP(Q108,'Adoption Methodology'!$F$5:$H$12,2,FALSE),"")</x:f>
        <x:v>5</x:v>
      </x:c>
      <x:c r="X108" s="299" t="str">
        <x:f>IFERROR(VLOOKUP(W108,'Adoption Methodology'!$A$5:$C$10,3,FALSE),"")</x:f>
        <x:v>&gt;60% in leading/addressable segments, or effectively a standard/default capability</x:v>
      </x:c>
      <x:c r="Y108" s="300" t="n">
        <x:f>IF(OR(U108="",W108=""),"",W108-U108)</x:f>
        <x:v>4</x:v>
      </x:c>
      <x:c r="Z108" s="299" t="str">
        <x:f>IF(Y108="","",IF(Y108&gt;0,"Adoption increased",IF(Y108=0,"Broadly unchanged","Adoption maturity lower")))</x:f>
        <x:v>Adoption increased</x:v>
      </x:c>
      <x:c r="AA108" s="300" t="str">
        <x:f>IFERROR(VLOOKUP(Q108,'Adoption Methodology'!$F$5:$H$12,3,FALSE),"Medium")</x:f>
        <x:v>High</x:v>
      </x:c>
      <x:c r="AB108" s="299" t="str">
        <x:f>IFERROR(VLOOKUP(A108,'Adoption Methodology'!$K$5:$L$14,2,FALSE),IFERROR(VLOOKUP(B108,'Adoption Methodology'!$N$5:$O$16,2,FALSE),"https://www.gartner.com/en/information-technology/technology-adoption-roadmaps"))</x:f>
        <x:v>https://www.mckinsey.com/capabilities/quantumblack/our-insights/the-state-of-ai</x:v>
      </x:c>
      <x:c r="AC108" s="299" t="str">
        <x:f>IF(R108="","Modelled adoption maturity; see Adoption Methodology.",R108&amp;"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09">
      <x:c r="A109" s="299" t="str">
        <x:v>Fluid Knowledge</x:v>
      </x:c>
      <x:c r="B109" s="299" t="str">
        <x:v>Connectivity / Edge / IoT</x:v>
      </x:c>
      <x:c r="C109" s="300" t="str"/>
      <x:c r="D109" s="300" t="str"/>
      <x:c r="E109" s="300" t="str"/>
      <x:c r="F109" s="300" t="str"/>
      <x:c r="G109" s="300" t="str"/>
      <x:c r="H109" s="300" t="str"/>
      <x:c r="I109" s="300" t="str"/>
      <x:c r="J109" s="300" t="str"/>
      <x:c r="K109" s="300" t="str"/>
      <x:c r="L109" s="300" t="str">
        <x:v>IT</x:v>
      </x:c>
      <x:c r="M109" s="300" t="n">
        <x:f>COUNTIF(C109:L109,"IT")+COUNTIF(C109:L109,"PE")+COUNTIF(C109:L109,"TD")+COUNTIF(C109:L109,"SE")+COUNTIF(C109:L109,"PP")</x:f>
        <x:v>1</x:v>
      </x:c>
      <x:c r="N109" s="300" t="n">
        <x:f>IF(C109&lt;&gt;"",2016,IF(D109&lt;&gt;"",2017,IF(E109&lt;&gt;"",2018,IF(F109&lt;&gt;"",2019,IF(G109&lt;&gt;"",2020,IF(H109&lt;&gt;"",2021,IF(I109&lt;&gt;"",2022,IF(J109&lt;&gt;"",2023,IF(K109&lt;&gt;"",2024,IF(L109&lt;&gt;"",2025,""))))))))))</x:f>
        <x:v>2025</x:v>
      </x:c>
      <x:c r="O109" s="300" t="n">
        <x:f>IF(L109&lt;&gt;"",2025,IF(K109&lt;&gt;"",2024,IF(J109&lt;&gt;"",2023,IF(I109&lt;&gt;"",2022,IF(H109&lt;&gt;"",2021,IF(G109&lt;&gt;"",2020,IF(F109&lt;&gt;"",2019,IF(E109&lt;&gt;"",2018,IF(D109&lt;&gt;"",2017,IF(C109&lt;&gt;"",2016,""))))))))))</x:f>
        <x:v>2025</x:v>
      </x:c>
      <x:c r="P109" s="299" t="str">
        <x:v>Still on the 2025 flagship</x:v>
      </x:c>
      <x:c r="Q109" s="299" t="str">
        <x:v>Still emerging / evolving</x:v>
      </x:c>
      <x:c r="R109" s="299" t="str">
        <x:v>By 2026 the category is still evolving quickly; commercial adoption exists or is beginning, but maturity and durable ROI vary significantly.</x:v>
      </x:c>
      <x:c r="S109" s="299" t="str"/>
      <x:c r="T109" s="300" t="str">
        <x:f>IFERROR(INDEX($C109:$L109,1,MATCH($N109,$C$4:$L$4,0)),"")</x:f>
        <x:v>IT</x:v>
      </x:c>
      <x:c r="U109" s="300" t="n">
        <x:f>IFERROR(VLOOKUP(T109,'Adoption Methodology'!$F$18:$G$22,2,FALSE),"")</x:f>
        <x:v>1</x:v>
      </x:c>
      <x:c r="V109" s="299" t="str">
        <x:f>IFERROR(VLOOKUP(U109,'Adoption Methodology'!$A$5:$C$10,3,FALSE),"")</x:f>
        <x:v>≈1–5% of relevant market; prototypes, pilots or very early deployments</x:v>
      </x:c>
      <x:c r="W109" s="300" t="n">
        <x:f>IFERROR(VLOOKUP(Q109,'Adoption Methodology'!$F$5:$H$12,2,FALSE),"")</x:f>
        <x:v>2</x:v>
      </x:c>
      <x:c r="X109" s="299" t="str">
        <x:f>IFERROR(VLOOKUP(W109,'Adoption Methodology'!$A$5:$C$10,3,FALSE),"")</x:f>
        <x:v>≈5–15% of relevant market; credible deployments but limited scale</x:v>
      </x:c>
      <x:c r="Y109" s="300" t="n">
        <x:f>IF(OR(U109="",W109=""),"",W109-U109)</x:f>
        <x:v>1</x:v>
      </x:c>
      <x:c r="Z109" s="299" t="str">
        <x:f>IF(Y109="","",IF(Y109&gt;0,"Adoption increased",IF(Y109=0,"Broadly unchanged","Adoption maturity lower")))</x:f>
        <x:v>Adoption increased</x:v>
      </x:c>
      <x:c r="AA109" s="300" t="str">
        <x:f>IFERROR(VLOOKUP(Q109,'Adoption Methodology'!$F$5:$H$12,3,FALSE),"Medium")</x:f>
        <x:v>Medium</x:v>
      </x:c>
      <x:c r="AB109" s="299" t="str">
        <x:f>IFERROR(VLOOKUP(A109,'Adoption Methodology'!$K$5:$L$14,2,FALSE),IFERROR(VLOOKUP(B109,'Adoption Methodology'!$N$5:$O$16,2,FALSE),"https://www.gartner.com/en/information-technology/technology-adoption-roadmaps"))</x:f>
        <x:v>https://www.gsma.com/about-us/regions/europe/gsma_resources/the-mobile-economy-2026/</x:v>
      </x:c>
      <x:c r="AC109" s="299" t="str">
        <x:f>IF(R109="","Modelled adoption maturity; see Adoption Methodology.",R109&amp;"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10">
      <x:c r="A110" s="299" t="str">
        <x:v>Flying Autonomous Vehicles</x:v>
      </x:c>
      <x:c r="B110" s="299" t="str">
        <x:v>Autonomy / Robotics</x:v>
      </x:c>
      <x:c r="C110" s="300" t="str"/>
      <x:c r="D110" s="300" t="str"/>
      <x:c r="E110" s="300" t="str">
        <x:v>IT</x:v>
      </x:c>
      <x:c r="F110" s="300" t="str">
        <x:v>IT</x:v>
      </x:c>
      <x:c r="G110" s="300" t="str"/>
      <x:c r="H110" s="300" t="str"/>
      <x:c r="I110" s="300" t="str"/>
      <x:c r="J110" s="300" t="str"/>
      <x:c r="K110" s="300" t="str"/>
      <x:c r="L110" s="300" t="str"/>
      <x:c r="M110" s="300" t="n">
        <x:f>COUNTIF(C110:L110,"IT")+COUNTIF(C110:L110,"PE")+COUNTIF(C110:L110,"TD")+COUNTIF(C110:L110,"SE")+COUNTIF(C110:L110,"PP")</x:f>
        <x:v>2</x:v>
      </x:c>
      <x:c r="N110" s="300" t="n">
        <x:f>IF(C110&lt;&gt;"",2016,IF(D110&lt;&gt;"",2017,IF(E110&lt;&gt;"",2018,IF(F110&lt;&gt;"",2019,IF(G110&lt;&gt;"",2020,IF(H110&lt;&gt;"",2021,IF(I110&lt;&gt;"",2022,IF(J110&lt;&gt;"",2023,IF(K110&lt;&gt;"",2024,IF(L110&lt;&gt;"",2025,""))))))))))</x:f>
        <x:v>2018</x:v>
      </x:c>
      <x:c r="O110" s="300" t="n">
        <x:f>IF(L110&lt;&gt;"",2025,IF(K110&lt;&gt;"",2024,IF(J110&lt;&gt;"",2023,IF(I110&lt;&gt;"",2022,IF(H110&lt;&gt;"",2021,IF(G110&lt;&gt;"",2020,IF(F110&lt;&gt;"",2019,IF(E110&lt;&gt;"",2018,IF(D110&lt;&gt;"",2017,IF(C110&lt;&gt;"",2016,""))))))))))</x:f>
        <x:v>2019</x:v>
      </x:c>
      <x:c r="P110" s="299" t="str">
        <x:v>Exited flagship; may continue on specialist Hype Cycles</x:v>
      </x:c>
      <x:c r="Q110" s="299" t="str">
        <x:v>Still emerging / long-horizon</x:v>
      </x:c>
      <x:c r="R110" s="299" t="str">
        <x:v>By 2026 the technology remains emerging, research-heavy or constrained by economics, engineering, regulation or deployment scale.</x:v>
      </x:c>
      <x:c r="S110" s="299" t="str"/>
      <x:c r="T110" s="300" t="str">
        <x:f>IFERROR(INDEX($C110:$L110,1,MATCH($N110,$C$4:$L$4,0)),"")</x:f>
        <x:v>IT</x:v>
      </x:c>
      <x:c r="U110" s="300" t="n">
        <x:f>IFERROR(VLOOKUP(T110,'Adoption Methodology'!$F$18:$G$22,2,FALSE),"")</x:f>
        <x:v>1</x:v>
      </x:c>
      <x:c r="V110" s="299" t="str">
        <x:f>IFERROR(VLOOKUP(U110,'Adoption Methodology'!$A$5:$C$10,3,FALSE),"")</x:f>
        <x:v>≈1–5% of relevant market; prototypes, pilots or very early deployments</x:v>
      </x:c>
      <x:c r="W110" s="300" t="n">
        <x:f>IFERROR(VLOOKUP(Q110,'Adoption Methodology'!$F$5:$H$12,2,FALSE),"")</x:f>
        <x:v>1</x:v>
      </x:c>
      <x:c r="X110" s="299" t="str">
        <x:f>IFERROR(VLOOKUP(W110,'Adoption Methodology'!$A$5:$C$10,3,FALSE),"")</x:f>
        <x:v>≈1–5% of relevant market; prototypes, pilots or very early deployments</x:v>
      </x:c>
      <x:c r="Y110" s="300" t="n">
        <x:f>IF(OR(U110="",W110=""),"",W110-U110)</x:f>
        <x:v>0</x:v>
      </x:c>
      <x:c r="Z110" s="299" t="str">
        <x:f>IF(Y110="","",IF(Y110&gt;0,"Adoption increased",IF(Y110=0,"Broadly unchanged","Adoption maturity lower")))</x:f>
      </x:c>
      <x:c r="AA110" s="300" t="str">
        <x:f>IFERROR(VLOOKUP(Q110,'Adoption Methodology'!$F$5:$H$12,3,FALSE),"Medium")</x:f>
        <x:v>Medium</x:v>
      </x:c>
      <x:c r="AB110" s="299" t="str">
        <x:f>IFERROR(VLOOKUP(A110,'Adoption Methodology'!$K$5:$L$14,2,FALSE),IFERROR(VLOOKUP(B110,'Adoption Methodology'!$N$5:$O$16,2,FALSE),"https://www.gartner.com/en/information-technology/technology-adoption-roadmaps"))</x:f>
        <x:v>https://ifr.org/worldrobotics/report-2025</x:v>
      </x:c>
      <x:c r="AC110" s="299" t="str">
        <x:f>IF(R110="","Modelled adoption maturity; see Adoption Methodology.",R110&amp;"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11">
      <x:c r="A111" s="299" t="str">
        <x:v>Foundation Models</x:v>
      </x:c>
      <x:c r="B111" s="299" t="str">
        <x:v>AI / Data / Analytics</x:v>
      </x:c>
      <x:c r="C111" s="300" t="str"/>
      <x:c r="D111" s="300" t="str"/>
      <x:c r="E111" s="300" t="str"/>
      <x:c r="F111" s="300" t="str"/>
      <x:c r="G111" s="300" t="str"/>
      <x:c r="H111" s="300" t="str"/>
      <x:c r="I111" s="300" t="str">
        <x:v>PE</x:v>
      </x:c>
      <x:c r="J111" s="300" t="str"/>
      <x:c r="K111" s="300" t="str"/>
      <x:c r="L111" s="300" t="str"/>
      <x:c r="M111" s="300" t="n">
        <x:f>COUNTIF(C111:L111,"IT")+COUNTIF(C111:L111,"PE")+COUNTIF(C111:L111,"TD")+COUNTIF(C111:L111,"SE")+COUNTIF(C111:L111,"PP")</x:f>
        <x:v>1</x:v>
      </x:c>
      <x:c r="N111" s="300" t="n">
        <x:f>IF(C111&lt;&gt;"",2016,IF(D111&lt;&gt;"",2017,IF(E111&lt;&gt;"",2018,IF(F111&lt;&gt;"",2019,IF(G111&lt;&gt;"",2020,IF(H111&lt;&gt;"",2021,IF(I111&lt;&gt;"",2022,IF(J111&lt;&gt;"",2023,IF(K111&lt;&gt;"",2024,IF(L111&lt;&gt;"",2025,""))))))))))</x:f>
        <x:v>2022</x:v>
      </x:c>
      <x:c r="O111" s="300" t="n">
        <x:f>IF(L111&lt;&gt;"",2025,IF(K111&lt;&gt;"",2024,IF(J111&lt;&gt;"",2023,IF(I111&lt;&gt;"",2022,IF(H111&lt;&gt;"",2021,IF(G111&lt;&gt;"",2020,IF(F111&lt;&gt;"",2019,IF(E111&lt;&gt;"",2018,IF(D111&lt;&gt;"",2017,IF(C111&lt;&gt;"",2016,""))))))))))</x:f>
        <x:v>2022</x:v>
      </x:c>
      <x:c r="P111" s="299" t="str">
        <x:v>Exited flagship; may continue on specialist Hype Cycles</x:v>
      </x:c>
      <x:c r="Q111" s="299" t="str">
        <x:v>Exited flagship / evolving</x:v>
      </x:c>
      <x:c r="R111" s="299" t="str">
        <x:v>The label left the flagship cycle; Gartner’s flagship is deliberately dynamic, so exit should not be read as failure without checking specialist Hype Cycles.</x:v>
      </x:c>
      <x:c r="S111" s="299" t="str"/>
      <x:c r="T111" s="300" t="str">
        <x:f>IFERROR(INDEX($C111:$L111,1,MATCH($N111,$C$4:$L$4,0)),"")</x:f>
        <x:v>PE</x:v>
      </x:c>
      <x:c r="U111" s="300" t="n">
        <x:f>IFERROR(VLOOKUP(T111,'Adoption Methodology'!$F$18:$G$22,2,FALSE),"")</x:f>
        <x:v>2</x:v>
      </x:c>
      <x:c r="V111" s="299" t="str">
        <x:f>IFERROR(VLOOKUP(U111,'Adoption Methodology'!$A$5:$C$10,3,FALSE),"")</x:f>
        <x:v>≈5–15% of relevant market; credible deployments but limited scale</x:v>
      </x:c>
      <x:c r="W111" s="300" t="n">
        <x:f>IFERROR(VLOOKUP(Q111,'Adoption Methodology'!$F$5:$H$12,2,FALSE),"")</x:f>
        <x:v>2</x:v>
      </x:c>
      <x:c r="X111" s="299" t="str">
        <x:f>IFERROR(VLOOKUP(W111,'Adoption Methodology'!$A$5:$C$10,3,FALSE),"")</x:f>
        <x:v>≈5–15% of relevant market; credible deployments but limited scale</x:v>
      </x:c>
      <x:c r="Y111" s="300" t="n">
        <x:f>IF(OR(U111="",W111=""),"",W111-U111)</x:f>
        <x:v>0</x:v>
      </x:c>
      <x:c r="Z111" s="299" t="str">
        <x:f>IF(Y111="","",IF(Y111&gt;0,"Adoption increased",IF(Y111=0,"Broadly unchanged","Adoption maturity lower")))</x:f>
      </x:c>
      <x:c r="AA111" s="300" t="str">
        <x:f>IFERROR(VLOOKUP(Q111,'Adoption Methodology'!$F$5:$H$12,3,FALSE),"Medium")</x:f>
        <x:v>Medium-Low</x:v>
      </x:c>
      <x:c r="AB111" s="299" t="str">
        <x:f>IFERROR(VLOOKUP(A111,'Adoption Methodology'!$K$5:$L$14,2,FALSE),IFERROR(VLOOKUP(B111,'Adoption Methodology'!$N$5:$O$16,2,FALSE),"https://www.gartner.com/en/information-technology/technology-adoption-roadmaps"))</x:f>
        <x:v>https://www.mckinsey.com/capabilities/quantumblack/our-insights/the-state-of-ai</x:v>
      </x:c>
      <x:c r="AC111" s="299" t="str">
        <x:f>IF(R111="","Modelled adoption maturity; see Adoption Methodology.",R111&amp;"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12">
      <x:c r="A112" s="299" t="str">
        <x:v>General-Purpose Machine Intelligence</x:v>
      </x:c>
      <x:c r="B112" s="299" t="str">
        <x:v>AI / Data / Analytics</x:v>
      </x:c>
      <x:c r="C112" s="300" t="str">
        <x:v>IT</x:v>
      </x:c>
      <x:c r="D112" s="300" t="str"/>
      <x:c r="E112" s="300" t="str"/>
      <x:c r="F112" s="300" t="str"/>
      <x:c r="G112" s="300" t="str"/>
      <x:c r="H112" s="300" t="str"/>
      <x:c r="I112" s="300" t="str"/>
      <x:c r="J112" s="300" t="str"/>
      <x:c r="K112" s="300" t="str"/>
      <x:c r="L112" s="300" t="str"/>
      <x:c r="M112" s="300" t="n">
        <x:f>COUNTIF(C112:L112,"IT")+COUNTIF(C112:L112,"PE")+COUNTIF(C112:L112,"TD")+COUNTIF(C112:L112,"SE")+COUNTIF(C112:L112,"PP")</x:f>
        <x:v>1</x:v>
      </x:c>
      <x:c r="N112" s="300" t="n">
        <x:f>IF(C112&lt;&gt;"",2016,IF(D112&lt;&gt;"",2017,IF(E112&lt;&gt;"",2018,IF(F112&lt;&gt;"",2019,IF(G112&lt;&gt;"",2020,IF(H112&lt;&gt;"",2021,IF(I112&lt;&gt;"",2022,IF(J112&lt;&gt;"",2023,IF(K112&lt;&gt;"",2024,IF(L112&lt;&gt;"",2025,""))))))))))</x:f>
        <x:v>2016</x:v>
      </x:c>
      <x:c r="O112" s="300" t="n">
        <x:f>IF(L112&lt;&gt;"",2025,IF(K112&lt;&gt;"",2024,IF(J112&lt;&gt;"",2023,IF(I112&lt;&gt;"",2022,IF(H112&lt;&gt;"",2021,IF(G112&lt;&gt;"",2020,IF(F112&lt;&gt;"",2019,IF(E112&lt;&gt;"",2018,IF(D112&lt;&gt;"",2017,IF(C112&lt;&gt;"",2016,""))))))))))</x:f>
        <x:v>2016</x:v>
      </x:c>
      <x:c r="P112" s="299" t="str">
        <x:v>Exited flagship; may continue on specialist Hype Cycles</x:v>
      </x:c>
      <x:c r="Q112" s="299" t="str">
        <x:v>Still emerging / long-horizon</x:v>
      </x:c>
      <x:c r="R112" s="299" t="str">
        <x:v>By 2026 the technology remains emerging, research-heavy or constrained by economics, engineering, regulation or deployment scale.</x:v>
      </x:c>
      <x:c r="S112" s="299" t="str"/>
      <x:c r="T112" s="300" t="str">
        <x:f>IFERROR(INDEX($C112:$L112,1,MATCH($N112,$C$4:$L$4,0)),"")</x:f>
        <x:v>IT</x:v>
      </x:c>
      <x:c r="U112" s="300" t="n">
        <x:f>IFERROR(VLOOKUP(T112,'Adoption Methodology'!$F$18:$G$22,2,FALSE),"")</x:f>
        <x:v>1</x:v>
      </x:c>
      <x:c r="V112" s="299" t="str">
        <x:f>IFERROR(VLOOKUP(U112,'Adoption Methodology'!$A$5:$C$10,3,FALSE),"")</x:f>
        <x:v>≈1–5% of relevant market; prototypes, pilots or very early deployments</x:v>
      </x:c>
      <x:c r="W112" s="300" t="n">
        <x:f>IFERROR(VLOOKUP(Q112,'Adoption Methodology'!$F$5:$H$12,2,FALSE),"")</x:f>
        <x:v>1</x:v>
      </x:c>
      <x:c r="X112" s="299" t="str">
        <x:f>IFERROR(VLOOKUP(W112,'Adoption Methodology'!$A$5:$C$10,3,FALSE),"")</x:f>
        <x:v>≈1–5% of relevant market; prototypes, pilots or very early deployments</x:v>
      </x:c>
      <x:c r="Y112" s="300" t="n">
        <x:f>IF(OR(U112="",W112=""),"",W112-U112)</x:f>
        <x:v>0</x:v>
      </x:c>
      <x:c r="Z112" s="299" t="str">
        <x:f>IF(Y112="","",IF(Y112&gt;0,"Adoption increased",IF(Y112=0,"Broadly unchanged","Adoption maturity lower")))</x:f>
      </x:c>
      <x:c r="AA112" s="300" t="str">
        <x:f>IFERROR(VLOOKUP(Q112,'Adoption Methodology'!$F$5:$H$12,3,FALSE),"Medium")</x:f>
        <x:v>Medium</x:v>
      </x:c>
      <x:c r="AB112" s="299" t="str">
        <x:f>IFERROR(VLOOKUP(A112,'Adoption Methodology'!$K$5:$L$14,2,FALSE),IFERROR(VLOOKUP(B112,'Adoption Methodology'!$N$5:$O$16,2,FALSE),"https://www.gartner.com/en/information-technology/technology-adoption-roadmaps"))</x:f>
        <x:v>https://www.mckinsey.com/capabilities/quantumblack/our-insights/the-state-of-ai</x:v>
      </x:c>
      <x:c r="AC112" s="299" t="str">
        <x:f>IF(R112="","Modelled adoption maturity; see Adoption Methodology.",R112&amp;"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13">
      <x:c r="A113" s="299" t="str">
        <x:v>Generative Adversarial Networks</x:v>
      </x:c>
      <x:c r="B113" s="299" t="str">
        <x:v>Connectivity / Edge / IoT</x:v>
      </x:c>
      <x:c r="C113" s="300" t="str"/>
      <x:c r="D113" s="300" t="str"/>
      <x:c r="E113" s="300" t="str"/>
      <x:c r="F113" s="300" t="str">
        <x:v>IT</x:v>
      </x:c>
      <x:c r="G113" s="300" t="str">
        <x:v>IT</x:v>
      </x:c>
      <x:c r="H113" s="300" t="str"/>
      <x:c r="I113" s="300" t="str"/>
      <x:c r="J113" s="300" t="str"/>
      <x:c r="K113" s="300" t="str"/>
      <x:c r="L113" s="300" t="str"/>
      <x:c r="M113" s="300" t="n">
        <x:f>COUNTIF(C113:L113,"IT")+COUNTIF(C113:L113,"PE")+COUNTIF(C113:L113,"TD")+COUNTIF(C113:L113,"SE")+COUNTIF(C113:L113,"PP")</x:f>
        <x:v>2</x:v>
      </x:c>
      <x:c r="N113" s="300" t="n">
        <x:f>IF(C113&lt;&gt;"",2016,IF(D113&lt;&gt;"",2017,IF(E113&lt;&gt;"",2018,IF(F113&lt;&gt;"",2019,IF(G113&lt;&gt;"",2020,IF(H113&lt;&gt;"",2021,IF(I113&lt;&gt;"",2022,IF(J113&lt;&gt;"",2023,IF(K113&lt;&gt;"",2024,IF(L113&lt;&gt;"",2025,""))))))))))</x:f>
        <x:v>2019</x:v>
      </x:c>
      <x:c r="O113" s="300" t="n">
        <x:f>IF(L113&lt;&gt;"",2025,IF(K113&lt;&gt;"",2024,IF(J113&lt;&gt;"",2023,IF(I113&lt;&gt;"",2022,IF(H113&lt;&gt;"",2021,IF(G113&lt;&gt;"",2020,IF(F113&lt;&gt;"",2019,IF(E113&lt;&gt;"",2018,IF(D113&lt;&gt;"",2017,IF(C113&lt;&gt;"",2016,""))))))))))</x:f>
        <x:v>2020</x:v>
      </x:c>
      <x:c r="P113" s="299" t="str">
        <x:v>Exited flagship; may continue on specialist Hype Cycles</x:v>
      </x:c>
      <x:c r="Q113" s="299" t="str">
        <x:v>Exited flagship / specialist</x:v>
      </x:c>
      <x:c r="R113" s="299" t="str">
        <x:v>The label left the flagship cycle and is now best viewed as specialist, absorbed into adjacent categories, or lower-profile rather than a simple success/failure.</x:v>
      </x:c>
      <x:c r="S113" s="299" t="str"/>
      <x:c r="T113" s="300" t="str">
        <x:f>IFERROR(INDEX($C113:$L113,1,MATCH($N113,$C$4:$L$4,0)),"")</x:f>
        <x:v>IT</x:v>
      </x:c>
      <x:c r="U113" s="300" t="n">
        <x:f>IFERROR(VLOOKUP(T113,'Adoption Methodology'!$F$18:$G$22,2,FALSE),"")</x:f>
        <x:v>1</x:v>
      </x:c>
      <x:c r="V113" s="299" t="str">
        <x:f>IFERROR(VLOOKUP(U113,'Adoption Methodology'!$A$5:$C$10,3,FALSE),"")</x:f>
        <x:v>≈1–5% of relevant market; prototypes, pilots or very early deployments</x:v>
      </x:c>
      <x:c r="W113" s="300" t="n">
        <x:f>IFERROR(VLOOKUP(Q113,'Adoption Methodology'!$F$5:$H$12,2,FALSE),"")</x:f>
        <x:v>3</x:v>
      </x:c>
      <x:c r="X113" s="299" t="str">
        <x:f>IFERROR(VLOOKUP(W113,'Adoption Methodology'!$A$5:$C$10,3,FALSE),"")</x:f>
        <x:v>≈15–35% of relevant market, or capability absorbed into successor platforms</x:v>
      </x:c>
      <x:c r="Y113" s="300" t="n">
        <x:f>IF(OR(U113="",W113=""),"",W113-U113)</x:f>
        <x:v>2</x:v>
      </x:c>
      <x:c r="Z113" s="299" t="str">
        <x:f>IF(Y113="","",IF(Y113&gt;0,"Adoption increased",IF(Y113=0,"Broadly unchanged","Adoption maturity lower")))</x:f>
        <x:v>Adoption increased</x:v>
      </x:c>
      <x:c r="AA113" s="300" t="str">
        <x:f>IFERROR(VLOOKUP(Q113,'Adoption Methodology'!$F$5:$H$12,3,FALSE),"Medium")</x:f>
        <x:v>Medium</x:v>
      </x:c>
      <x:c r="AB113" s="299" t="str">
        <x:f>IFERROR(VLOOKUP(A113,'Adoption Methodology'!$K$5:$L$14,2,FALSE),IFERROR(VLOOKUP(B113,'Adoption Methodology'!$N$5:$O$16,2,FALSE),"https://www.gartner.com/en/information-technology/technology-adoption-roadmaps"))</x:f>
        <x:v>https://www.gsma.com/about-us/regions/europe/gsma_resources/the-mobile-economy-2026/</x:v>
      </x:c>
      <x:c r="AC113" s="299" t="str">
        <x:f>IF(R113="","Modelled adoption maturity; see Adoption Methodology.",R113&amp;"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14">
      <x:c r="A114" s="299" t="str">
        <x:v>Generative AI</x:v>
      </x:c>
      <x:c r="B114" s="299" t="str">
        <x:v>AI / Data / Analytics</x:v>
      </x:c>
      <x:c r="C114" s="300" t="str"/>
      <x:c r="D114" s="300" t="str"/>
      <x:c r="E114" s="300" t="str"/>
      <x:c r="F114" s="300" t="str"/>
      <x:c r="G114" s="300" t="str">
        <x:v>IT</x:v>
      </x:c>
      <x:c r="H114" s="300" t="str">
        <x:v>IT</x:v>
      </x:c>
      <x:c r="I114" s="300" t="str"/>
      <x:c r="J114" s="300" t="str">
        <x:v>PE</x:v>
      </x:c>
      <x:c r="K114" s="300" t="str">
        <x:v>TD</x:v>
      </x:c>
      <x:c r="L114" s="300" t="str"/>
      <x:c r="M114" s="300" t="n">
        <x:f>COUNTIF(C114:L114,"IT")+COUNTIF(C114:L114,"PE")+COUNTIF(C114:L114,"TD")+COUNTIF(C114:L114,"SE")+COUNTIF(C114:L114,"PP")</x:f>
        <x:v>4</x:v>
      </x:c>
      <x:c r="N114" s="300" t="n">
        <x:f>IF(C114&lt;&gt;"",2016,IF(D114&lt;&gt;"",2017,IF(E114&lt;&gt;"",2018,IF(F114&lt;&gt;"",2019,IF(G114&lt;&gt;"",2020,IF(H114&lt;&gt;"",2021,IF(I114&lt;&gt;"",2022,IF(J114&lt;&gt;"",2023,IF(K114&lt;&gt;"",2024,IF(L114&lt;&gt;"",2025,""))))))))))</x:f>
        <x:v>2020</x:v>
      </x:c>
      <x:c r="O114" s="300" t="n">
        <x:f>IF(L114&lt;&gt;"",2025,IF(K114&lt;&gt;"",2024,IF(J114&lt;&gt;"",2023,IF(I114&lt;&gt;"",2022,IF(H114&lt;&gt;"",2021,IF(G114&lt;&gt;"",2020,IF(F114&lt;&gt;"",2019,IF(E114&lt;&gt;"",2018,IF(D114&lt;&gt;"",2017,IF(C114&lt;&gt;"",2016,""))))))))))</x:f>
        <x:v>2024</x:v>
      </x:c>
      <x:c r="P114" s="299" t="str">
        <x:v>Exited flagship; may continue on specialist Hype Cycles</x:v>
      </x:c>
      <x:c r="Q114" s="299" t="str">
        <x:v>Established / mainstream</x:v>
      </x:c>
      <x:c r="R114" s="299" t="str">
        <x:v>By 2026 this capability is commercially established or embedded in mainstream enterprise/consumer technology, even if the original Gartner label is no longer prominent.</x:v>
      </x:c>
      <x:c r="S114" s="299" t="str">
        <x:v>Broad category later shifted toward domain-specific GenAI and agentic AI in the flagship.</x:v>
      </x:c>
      <x:c r="T114" s="300" t="str">
        <x:f>IFERROR(INDEX($C114:$L114,1,MATCH($N114,$C$4:$L$4,0)),"")</x:f>
        <x:v>IT</x:v>
      </x:c>
      <x:c r="U114" s="300" t="n">
        <x:f>IFERROR(VLOOKUP(T114,'Adoption Methodology'!$F$18:$G$22,2,FALSE),"")</x:f>
        <x:v>1</x:v>
      </x:c>
      <x:c r="V114" s="299" t="str">
        <x:f>IFERROR(VLOOKUP(U114,'Adoption Methodology'!$A$5:$C$10,3,FALSE),"")</x:f>
        <x:v>≈1–5% of relevant market; prototypes, pilots or very early deployments</x:v>
      </x:c>
      <x:c r="W114" s="300" t="n">
        <x:f>IFERROR(VLOOKUP(Q114,'Adoption Methodology'!$F$5:$H$12,2,FALSE),"")</x:f>
        <x:v>5</x:v>
      </x:c>
      <x:c r="X114" s="299" t="str">
        <x:f>IFERROR(VLOOKUP(W114,'Adoption Methodology'!$A$5:$C$10,3,FALSE),"")</x:f>
        <x:v>&gt;60% in leading/addressable segments, or effectively a standard/default capability</x:v>
      </x:c>
      <x:c r="Y114" s="300" t="n">
        <x:f>IF(OR(U114="",W114=""),"",W114-U114)</x:f>
        <x:v>4</x:v>
      </x:c>
      <x:c r="Z114" s="299" t="str">
        <x:f>IF(Y114="","",IF(Y114&gt;0,"Adoption increased",IF(Y114=0,"Broadly unchanged","Adoption maturity lower")))</x:f>
        <x:v>Adoption increased</x:v>
      </x:c>
      <x:c r="AA114" s="300" t="str">
        <x:f>IFERROR(VLOOKUP(Q114,'Adoption Methodology'!$F$5:$H$12,3,FALSE),"Medium")</x:f>
        <x:v>High</x:v>
      </x:c>
      <x:c r="AB114" s="299" t="str">
        <x:f>IFERROR(VLOOKUP(A114,'Adoption Methodology'!$K$5:$L$14,2,FALSE),IFERROR(VLOOKUP(B114,'Adoption Methodology'!$N$5:$O$16,2,FALSE),"https://www.gartner.com/en/information-technology/technology-adoption-roadmaps"))</x:f>
        <x:v>https://www.mckinsey.com/featured-insights/charts/ai-at-work-but-not-at-scale</x:v>
      </x:c>
      <x:c r="AC114" s="299" t="str">
        <x:f>IF(R114="","Modelled adoption maturity; see Adoption Methodology.",R114&amp;"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15">
      <x:c r="A115" s="299" t="str">
        <x:v>Generative Cybersecurity AI</x:v>
      </x:c>
      <x:c r="B115" s="299" t="str">
        <x:v>Security / Privacy</x:v>
      </x:c>
      <x:c r="C115" s="300" t="str"/>
      <x:c r="D115" s="300" t="str"/>
      <x:c r="E115" s="300" t="str"/>
      <x:c r="F115" s="300" t="str"/>
      <x:c r="G115" s="300" t="str"/>
      <x:c r="H115" s="300" t="str"/>
      <x:c r="I115" s="300" t="str"/>
      <x:c r="J115" s="300" t="str">
        <x:v>IT</x:v>
      </x:c>
      <x:c r="K115" s="300" t="str"/>
      <x:c r="L115" s="300" t="str"/>
      <x:c r="M115" s="300" t="n">
        <x:f>COUNTIF(C115:L115,"IT")+COUNTIF(C115:L115,"PE")+COUNTIF(C115:L115,"TD")+COUNTIF(C115:L115,"SE")+COUNTIF(C115:L115,"PP")</x:f>
        <x:v>1</x:v>
      </x:c>
      <x:c r="N115" s="300" t="n">
        <x:f>IF(C115&lt;&gt;"",2016,IF(D115&lt;&gt;"",2017,IF(E115&lt;&gt;"",2018,IF(F115&lt;&gt;"",2019,IF(G115&lt;&gt;"",2020,IF(H115&lt;&gt;"",2021,IF(I115&lt;&gt;"",2022,IF(J115&lt;&gt;"",2023,IF(K115&lt;&gt;"",2024,IF(L115&lt;&gt;"",2025,""))))))))))</x:f>
        <x:v>2023</x:v>
      </x:c>
      <x:c r="O115" s="300" t="n">
        <x:f>IF(L115&lt;&gt;"",2025,IF(K115&lt;&gt;"",2024,IF(J115&lt;&gt;"",2023,IF(I115&lt;&gt;"",2022,IF(H115&lt;&gt;"",2021,IF(G115&lt;&gt;"",2020,IF(F115&lt;&gt;"",2019,IF(E115&lt;&gt;"",2018,IF(D115&lt;&gt;"",2017,IF(C115&lt;&gt;"",2016,""))))))))))</x:f>
        <x:v>2023</x:v>
      </x:c>
      <x:c r="P115" s="299" t="str">
        <x:v>Exited flagship; may continue on specialist Hype Cycles</x:v>
      </x:c>
      <x:c r="Q115" s="299" t="str">
        <x:v>Superseded / absorbed</x:v>
      </x:c>
      <x:c r="R115" s="299" t="str">
        <x:v>The concept largely survives inside broader platforms, successor terminology or more specific technology categories rather than as a standalone label.</x:v>
      </x:c>
      <x:c r="S115" s="299" t="str"/>
      <x:c r="T115" s="300" t="str">
        <x:f>IFERROR(INDEX($C115:$L115,1,MATCH($N115,$C$4:$L$4,0)),"")</x:f>
        <x:v>IT</x:v>
      </x:c>
      <x:c r="U115" s="300" t="n">
        <x:f>IFERROR(VLOOKUP(T115,'Adoption Methodology'!$F$18:$G$22,2,FALSE),"")</x:f>
        <x:v>1</x:v>
      </x:c>
      <x:c r="V115" s="299" t="str">
        <x:f>IFERROR(VLOOKUP(U115,'Adoption Methodology'!$A$5:$C$10,3,FALSE),"")</x:f>
        <x:v>≈1–5% of relevant market; prototypes, pilots or very early deployments</x:v>
      </x:c>
      <x:c r="W115" s="300" t="n">
        <x:f>IFERROR(VLOOKUP(Q115,'Adoption Methodology'!$F$5:$H$12,2,FALSE),"")</x:f>
        <x:v>3</x:v>
      </x:c>
      <x:c r="X115" s="299" t="str">
        <x:f>IFERROR(VLOOKUP(W115,'Adoption Methodology'!$A$5:$C$10,3,FALSE),"")</x:f>
        <x:v>≈15–35% of relevant market, or capability absorbed into successor platforms</x:v>
      </x:c>
      <x:c r="Y115" s="300" t="n">
        <x:f>IF(OR(U115="",W115=""),"",W115-U115)</x:f>
        <x:v>2</x:v>
      </x:c>
      <x:c r="Z115" s="299" t="str">
        <x:f>IF(Y115="","",IF(Y115&gt;0,"Adoption increased",IF(Y115=0,"Broadly unchanged","Adoption maturity lower")))</x:f>
        <x:v>Adoption increased</x:v>
      </x:c>
      <x:c r="AA115" s="300" t="str">
        <x:f>IFERROR(VLOOKUP(Q115,'Adoption Methodology'!$F$5:$H$12,3,FALSE),"Medium")</x:f>
        <x:v>Medium-Low</x:v>
      </x:c>
      <x:c r="AB115" s="299" t="str">
        <x:f>IFERROR(VLOOKUP(A115,'Adoption Methodology'!$K$5:$L$14,2,FALSE),IFERROR(VLOOKUP(B115,'Adoption Methodology'!$N$5:$O$16,2,FALSE),"https://www.gartner.com/en/information-technology/technology-adoption-roadmaps"))</x:f>
        <x:v>https://www.gartner.com/en/information-technology/technology-adoption-roadmaps</x:v>
      </x:c>
      <x:c r="AC115" s="299" t="str">
        <x:f>IF(R115="","Modelled adoption maturity; see Adoption Methodology.",R115&amp;"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16">
      <x:c r="A116" s="299" t="str">
        <x:v>Generative Design AI</x:v>
      </x:c>
      <x:c r="B116" s="299" t="str">
        <x:v>AI / Data / Analytics</x:v>
      </x:c>
      <x:c r="C116" s="300" t="str"/>
      <x:c r="D116" s="300" t="str"/>
      <x:c r="E116" s="300" t="str"/>
      <x:c r="F116" s="300" t="str"/>
      <x:c r="G116" s="300" t="str"/>
      <x:c r="H116" s="300" t="str"/>
      <x:c r="I116" s="300" t="str">
        <x:v>IT</x:v>
      </x:c>
      <x:c r="J116" s="300" t="str"/>
      <x:c r="K116" s="300" t="str"/>
      <x:c r="L116" s="300" t="str"/>
      <x:c r="M116" s="300" t="n">
        <x:f>COUNTIF(C116:L116,"IT")+COUNTIF(C116:L116,"PE")+COUNTIF(C116:L116,"TD")+COUNTIF(C116:L116,"SE")+COUNTIF(C116:L116,"PP")</x:f>
        <x:v>1</x:v>
      </x:c>
      <x:c r="N116" s="300" t="n">
        <x:f>IF(C116&lt;&gt;"",2016,IF(D116&lt;&gt;"",2017,IF(E116&lt;&gt;"",2018,IF(F116&lt;&gt;"",2019,IF(G116&lt;&gt;"",2020,IF(H116&lt;&gt;"",2021,IF(I116&lt;&gt;"",2022,IF(J116&lt;&gt;"",2023,IF(K116&lt;&gt;"",2024,IF(L116&lt;&gt;"",2025,""))))))))))</x:f>
        <x:v>2022</x:v>
      </x:c>
      <x:c r="O116" s="300" t="n">
        <x:f>IF(L116&lt;&gt;"",2025,IF(K116&lt;&gt;"",2024,IF(J116&lt;&gt;"",2023,IF(I116&lt;&gt;"",2022,IF(H116&lt;&gt;"",2021,IF(G116&lt;&gt;"",2020,IF(F116&lt;&gt;"",2019,IF(E116&lt;&gt;"",2018,IF(D116&lt;&gt;"",2017,IF(C116&lt;&gt;"",2016,""))))))))))</x:f>
        <x:v>2022</x:v>
      </x:c>
      <x:c r="P116" s="299" t="str">
        <x:v>Exited flagship; may continue on specialist Hype Cycles</x:v>
      </x:c>
      <x:c r="Q116" s="299" t="str">
        <x:v>Superseded / absorbed</x:v>
      </x:c>
      <x:c r="R116" s="299" t="str">
        <x:v>The concept largely survives inside broader platforms, successor terminology or more specific technology categories rather than as a standalone label.</x:v>
      </x:c>
      <x:c r="S116" s="299" t="str">
        <x:v>Successor label to AI-Augmented Design.</x:v>
      </x:c>
      <x:c r="T116" s="300" t="str">
        <x:f>IFERROR(INDEX($C116:$L116,1,MATCH($N116,$C$4:$L$4,0)),"")</x:f>
        <x:v>IT</x:v>
      </x:c>
      <x:c r="U116" s="300" t="n">
        <x:f>IFERROR(VLOOKUP(T116,'Adoption Methodology'!$F$18:$G$22,2,FALSE),"")</x:f>
        <x:v>1</x:v>
      </x:c>
      <x:c r="V116" s="299" t="str">
        <x:f>IFERROR(VLOOKUP(U116,'Adoption Methodology'!$A$5:$C$10,3,FALSE),"")</x:f>
        <x:v>≈1–5% of relevant market; prototypes, pilots or very early deployments</x:v>
      </x:c>
      <x:c r="W116" s="300" t="n">
        <x:f>IFERROR(VLOOKUP(Q116,'Adoption Methodology'!$F$5:$H$12,2,FALSE),"")</x:f>
        <x:v>3</x:v>
      </x:c>
      <x:c r="X116" s="299" t="str">
        <x:f>IFERROR(VLOOKUP(W116,'Adoption Methodology'!$A$5:$C$10,3,FALSE),"")</x:f>
        <x:v>≈15–35% of relevant market, or capability absorbed into successor platforms</x:v>
      </x:c>
      <x:c r="Y116" s="300" t="n">
        <x:f>IF(OR(U116="",W116=""),"",W116-U116)</x:f>
        <x:v>2</x:v>
      </x:c>
      <x:c r="Z116" s="299" t="str">
        <x:f>IF(Y116="","",IF(Y116&gt;0,"Adoption increased",IF(Y116=0,"Broadly unchanged","Adoption maturity lower")))</x:f>
        <x:v>Adoption increased</x:v>
      </x:c>
      <x:c r="AA116" s="300" t="str">
        <x:f>IFERROR(VLOOKUP(Q116,'Adoption Methodology'!$F$5:$H$12,3,FALSE),"Medium")</x:f>
        <x:v>Medium-Low</x:v>
      </x:c>
      <x:c r="AB116" s="299" t="str">
        <x:f>IFERROR(VLOOKUP(A116,'Adoption Methodology'!$K$5:$L$14,2,FALSE),IFERROR(VLOOKUP(B116,'Adoption Methodology'!$N$5:$O$16,2,FALSE),"https://www.gartner.com/en/information-technology/technology-adoption-roadmaps"))</x:f>
        <x:v>https://www.mckinsey.com/capabilities/quantumblack/our-insights/the-state-of-ai</x:v>
      </x:c>
      <x:c r="AC116" s="299" t="str">
        <x:f>IF(R116="","Modelled adoption maturity; see Adoption Methodology.",R116&amp;"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17">
      <x:c r="A117" s="299" t="str">
        <x:v>Geopatriation</x:v>
      </x:c>
      <x:c r="B117" s="299" t="str">
        <x:v>Business / Emerging Technology</x:v>
      </x:c>
      <x:c r="C117" s="300" t="str"/>
      <x:c r="D117" s="300" t="str"/>
      <x:c r="E117" s="300" t="str"/>
      <x:c r="F117" s="300" t="str"/>
      <x:c r="G117" s="300" t="str"/>
      <x:c r="H117" s="300" t="str"/>
      <x:c r="I117" s="300" t="str"/>
      <x:c r="J117" s="300" t="str"/>
      <x:c r="K117" s="300" t="str"/>
      <x:c r="L117" s="300" t="str">
        <x:v>IT</x:v>
      </x:c>
      <x:c r="M117" s="300" t="n">
        <x:f>COUNTIF(C117:L117,"IT")+COUNTIF(C117:L117,"PE")+COUNTIF(C117:L117,"TD")+COUNTIF(C117:L117,"SE")+COUNTIF(C117:L117,"PP")</x:f>
        <x:v>1</x:v>
      </x:c>
      <x:c r="N117" s="300" t="n">
        <x:f>IF(C117&lt;&gt;"",2016,IF(D117&lt;&gt;"",2017,IF(E117&lt;&gt;"",2018,IF(F117&lt;&gt;"",2019,IF(G117&lt;&gt;"",2020,IF(H117&lt;&gt;"",2021,IF(I117&lt;&gt;"",2022,IF(J117&lt;&gt;"",2023,IF(K117&lt;&gt;"",2024,IF(L117&lt;&gt;"",2025,""))))))))))</x:f>
        <x:v>2025</x:v>
      </x:c>
      <x:c r="O117" s="300" t="n">
        <x:f>IF(L117&lt;&gt;"",2025,IF(K117&lt;&gt;"",2024,IF(J117&lt;&gt;"",2023,IF(I117&lt;&gt;"",2022,IF(H117&lt;&gt;"",2021,IF(G117&lt;&gt;"",2020,IF(F117&lt;&gt;"",2019,IF(E117&lt;&gt;"",2018,IF(D117&lt;&gt;"",2017,IF(C117&lt;&gt;"",2016,""))))))))))</x:f>
        <x:v>2025</x:v>
      </x:c>
      <x:c r="P117" s="299" t="str">
        <x:v>Still on the 2025 flagship</x:v>
      </x:c>
      <x:c r="Q117" s="299" t="str">
        <x:v>Still emerging / evolving</x:v>
      </x:c>
      <x:c r="R117" s="299" t="str">
        <x:v>By 2026 the category is still evolving quickly; commercial adoption exists or is beginning, but maturity and durable ROI vary significantly.</x:v>
      </x:c>
      <x:c r="S117" s="299" t="str"/>
      <x:c r="T117" s="300" t="str">
        <x:f>IFERROR(INDEX($C117:$L117,1,MATCH($N117,$C$4:$L$4,0)),"")</x:f>
        <x:v>IT</x:v>
      </x:c>
      <x:c r="U117" s="300" t="n">
        <x:f>IFERROR(VLOOKUP(T117,'Adoption Methodology'!$F$18:$G$22,2,FALSE),"")</x:f>
        <x:v>1</x:v>
      </x:c>
      <x:c r="V117" s="299" t="str">
        <x:f>IFERROR(VLOOKUP(U117,'Adoption Methodology'!$A$5:$C$10,3,FALSE),"")</x:f>
        <x:v>≈1–5% of relevant market; prototypes, pilots or very early deployments</x:v>
      </x:c>
      <x:c r="W117" s="300" t="n">
        <x:f>IFERROR(VLOOKUP(Q117,'Adoption Methodology'!$F$5:$H$12,2,FALSE),"")</x:f>
        <x:v>2</x:v>
      </x:c>
      <x:c r="X117" s="299" t="str">
        <x:f>IFERROR(VLOOKUP(W117,'Adoption Methodology'!$A$5:$C$10,3,FALSE),"")</x:f>
        <x:v>≈5–15% of relevant market; credible deployments but limited scale</x:v>
      </x:c>
      <x:c r="Y117" s="300" t="n">
        <x:f>IF(OR(U117="",W117=""),"",W117-U117)</x:f>
        <x:v>1</x:v>
      </x:c>
      <x:c r="Z117" s="299" t="str">
        <x:f>IF(Y117="","",IF(Y117&gt;0,"Adoption increased",IF(Y117=0,"Broadly unchanged","Adoption maturity lower")))</x:f>
        <x:v>Adoption increased</x:v>
      </x:c>
      <x:c r="AA117" s="300" t="str">
        <x:f>IFERROR(VLOOKUP(Q117,'Adoption Methodology'!$F$5:$H$12,3,FALSE),"Medium")</x:f>
        <x:v>Medium</x:v>
      </x:c>
      <x:c r="AB117" s="299" t="str">
        <x:f>IFERROR(VLOOKUP(A117,'Adoption Methodology'!$K$5:$L$14,2,FALSE),IFERROR(VLOOKUP(B117,'Adoption Methodology'!$N$5:$O$16,2,FALSE),"https://www.gartner.com/en/information-technology/technology-adoption-roadmaps"))</x:f>
        <x:v>https://www.gartner.com/en/information-technology/technology-adoption-roadmaps</x:v>
      </x:c>
      <x:c r="AC117" s="299" t="str">
        <x:f>IF(R117="","Modelled adoption maturity; see Adoption Methodology.",R117&amp;"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18">
      <x:c r="A118" s="299" t="str">
        <x:v>Gesture Control Devices</x:v>
      </x:c>
      <x:c r="B118" s="299" t="str">
        <x:v>Business / Emerging Technology</x:v>
      </x:c>
      <x:c r="C118" s="300" t="str">
        <x:v>IT</x:v>
      </x:c>
      <x:c r="D118" s="300" t="str"/>
      <x:c r="E118" s="300" t="str"/>
      <x:c r="F118" s="300" t="str"/>
      <x:c r="G118" s="300" t="str"/>
      <x:c r="H118" s="300" t="str"/>
      <x:c r="I118" s="300" t="str"/>
      <x:c r="J118" s="300" t="str"/>
      <x:c r="K118" s="300" t="str"/>
      <x:c r="L118" s="300" t="str"/>
      <x:c r="M118" s="300" t="n">
        <x:f>COUNTIF(C118:L118,"IT")+COUNTIF(C118:L118,"PE")+COUNTIF(C118:L118,"TD")+COUNTIF(C118:L118,"SE")+COUNTIF(C118:L118,"PP")</x:f>
        <x:v>1</x:v>
      </x:c>
      <x:c r="N118" s="300" t="n">
        <x:f>IF(C118&lt;&gt;"",2016,IF(D118&lt;&gt;"",2017,IF(E118&lt;&gt;"",2018,IF(F118&lt;&gt;"",2019,IF(G118&lt;&gt;"",2020,IF(H118&lt;&gt;"",2021,IF(I118&lt;&gt;"",2022,IF(J118&lt;&gt;"",2023,IF(K118&lt;&gt;"",2024,IF(L118&lt;&gt;"",2025,""))))))))))</x:f>
        <x:v>2016</x:v>
      </x:c>
      <x:c r="O118" s="300" t="n">
        <x:f>IF(L118&lt;&gt;"",2025,IF(K118&lt;&gt;"",2024,IF(J118&lt;&gt;"",2023,IF(I118&lt;&gt;"",2022,IF(H118&lt;&gt;"",2021,IF(G118&lt;&gt;"",2020,IF(F118&lt;&gt;"",2019,IF(E118&lt;&gt;"",2018,IF(D118&lt;&gt;"",2017,IF(C118&lt;&gt;"",2016,""))))))))))</x:f>
        <x:v>2016</x:v>
      </x:c>
      <x:c r="P118" s="299" t="str">
        <x:v>Exited flagship; may continue on specialist Hype Cycles</x:v>
      </x:c>
      <x:c r="Q118" s="299" t="str">
        <x:v>Exited flagship / specialist</x:v>
      </x:c>
      <x:c r="R118" s="299" t="str">
        <x:v>The label left the flagship cycle and is now best viewed as specialist, absorbed into adjacent categories, or lower-profile rather than a simple success/failure.</x:v>
      </x:c>
      <x:c r="S118" s="299" t="str"/>
      <x:c r="T118" s="300" t="str">
        <x:f>IFERROR(INDEX($C118:$L118,1,MATCH($N118,$C$4:$L$4,0)),"")</x:f>
        <x:v>IT</x:v>
      </x:c>
      <x:c r="U118" s="300" t="n">
        <x:f>IFERROR(VLOOKUP(T118,'Adoption Methodology'!$F$18:$G$22,2,FALSE),"")</x:f>
        <x:v>1</x:v>
      </x:c>
      <x:c r="V118" s="299" t="str">
        <x:f>IFERROR(VLOOKUP(U118,'Adoption Methodology'!$A$5:$C$10,3,FALSE),"")</x:f>
        <x:v>≈1–5% of relevant market; prototypes, pilots or very early deployments</x:v>
      </x:c>
      <x:c r="W118" s="300" t="n">
        <x:f>IFERROR(VLOOKUP(Q118,'Adoption Methodology'!$F$5:$H$12,2,FALSE),"")</x:f>
        <x:v>3</x:v>
      </x:c>
      <x:c r="X118" s="299" t="str">
        <x:f>IFERROR(VLOOKUP(W118,'Adoption Methodology'!$A$5:$C$10,3,FALSE),"")</x:f>
        <x:v>≈15–35% of relevant market, or capability absorbed into successor platforms</x:v>
      </x:c>
      <x:c r="Y118" s="300" t="n">
        <x:f>IF(OR(U118="",W118=""),"",W118-U118)</x:f>
        <x:v>2</x:v>
      </x:c>
      <x:c r="Z118" s="299" t="str">
        <x:f>IF(Y118="","",IF(Y118&gt;0,"Adoption increased",IF(Y118=0,"Broadly unchanged","Adoption maturity lower")))</x:f>
        <x:v>Adoption increased</x:v>
      </x:c>
      <x:c r="AA118" s="300" t="str">
        <x:f>IFERROR(VLOOKUP(Q118,'Adoption Methodology'!$F$5:$H$12,3,FALSE),"Medium")</x:f>
        <x:v>Medium</x:v>
      </x:c>
      <x:c r="AB118" s="299" t="str">
        <x:f>IFERROR(VLOOKUP(A118,'Adoption Methodology'!$K$5:$L$14,2,FALSE),IFERROR(VLOOKUP(B118,'Adoption Methodology'!$N$5:$O$16,2,FALSE),"https://www.gartner.com/en/information-technology/technology-adoption-roadmaps"))</x:f>
        <x:v>https://www.gartner.com/en/information-technology/technology-adoption-roadmaps</x:v>
      </x:c>
      <x:c r="AC118" s="299" t="str">
        <x:f>IF(R118="","Modelled adoption maturity; see Adoption Methodology.",R118&amp;"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19">
      <x:c r="A119" s="299" t="str">
        <x:v>GitOps</x:v>
      </x:c>
      <x:c r="B119" s="299" t="str">
        <x:v>Cloud / Software Engineering</x:v>
      </x:c>
      <x:c r="C119" s="300" t="str"/>
      <x:c r="D119" s="300" t="str"/>
      <x:c r="E119" s="300" t="str"/>
      <x:c r="F119" s="300" t="str"/>
      <x:c r="G119" s="300" t="str"/>
      <x:c r="H119" s="300" t="str"/>
      <x:c r="I119" s="300" t="str"/>
      <x:c r="J119" s="300" t="str">
        <x:v>IT</x:v>
      </x:c>
      <x:c r="K119" s="300" t="str">
        <x:v>PE</x:v>
      </x:c>
      <x:c r="L119" s="300" t="str"/>
      <x:c r="M119" s="300" t="n">
        <x:f>COUNTIF(C119:L119,"IT")+COUNTIF(C119:L119,"PE")+COUNTIF(C119:L119,"TD")+COUNTIF(C119:L119,"SE")+COUNTIF(C119:L119,"PP")</x:f>
        <x:v>2</x:v>
      </x:c>
      <x:c r="N119" s="300" t="n">
        <x:f>IF(C119&lt;&gt;"",2016,IF(D119&lt;&gt;"",2017,IF(E119&lt;&gt;"",2018,IF(F119&lt;&gt;"",2019,IF(G119&lt;&gt;"",2020,IF(H119&lt;&gt;"",2021,IF(I119&lt;&gt;"",2022,IF(J119&lt;&gt;"",2023,IF(K119&lt;&gt;"",2024,IF(L119&lt;&gt;"",2025,""))))))))))</x:f>
        <x:v>2023</x:v>
      </x:c>
      <x:c r="O119" s="300" t="n">
        <x:f>IF(L119&lt;&gt;"",2025,IF(K119&lt;&gt;"",2024,IF(J119&lt;&gt;"",2023,IF(I119&lt;&gt;"",2022,IF(H119&lt;&gt;"",2021,IF(G119&lt;&gt;"",2020,IF(F119&lt;&gt;"",2019,IF(E119&lt;&gt;"",2018,IF(D119&lt;&gt;"",2017,IF(C119&lt;&gt;"",2016,""))))))))))</x:f>
        <x:v>2024</x:v>
      </x:c>
      <x:c r="P119" s="299" t="str">
        <x:v>Exited flagship; may continue on specialist Hype Cycles</x:v>
      </x:c>
      <x:c r="Q119" s="299" t="str">
        <x:v>Established / mainstream</x:v>
      </x:c>
      <x:c r="R119" s="299" t="str">
        <x:v>By 2026 this capability is commercially established or embedded in mainstream enterprise/consumer technology, even if the original Gartner label is no longer prominent.</x:v>
      </x:c>
      <x:c r="S119" s="299" t="str"/>
      <x:c r="T119" s="300" t="str">
        <x:f>IFERROR(INDEX($C119:$L119,1,MATCH($N119,$C$4:$L$4,0)),"")</x:f>
        <x:v>IT</x:v>
      </x:c>
      <x:c r="U119" s="300" t="n">
        <x:f>IFERROR(VLOOKUP(T119,'Adoption Methodology'!$F$18:$G$22,2,FALSE),"")</x:f>
        <x:v>1</x:v>
      </x:c>
      <x:c r="V119" s="299" t="str">
        <x:f>IFERROR(VLOOKUP(U119,'Adoption Methodology'!$A$5:$C$10,3,FALSE),"")</x:f>
        <x:v>≈1–5% of relevant market; prototypes, pilots or very early deployments</x:v>
      </x:c>
      <x:c r="W119" s="300" t="n">
        <x:f>IFERROR(VLOOKUP(Q119,'Adoption Methodology'!$F$5:$H$12,2,FALSE),"")</x:f>
        <x:v>5</x:v>
      </x:c>
      <x:c r="X119" s="299" t="str">
        <x:f>IFERROR(VLOOKUP(W119,'Adoption Methodology'!$A$5:$C$10,3,FALSE),"")</x:f>
        <x:v>&gt;60% in leading/addressable segments, or effectively a standard/default capability</x:v>
      </x:c>
      <x:c r="Y119" s="300" t="n">
        <x:f>IF(OR(U119="",W119=""),"",W119-U119)</x:f>
        <x:v>4</x:v>
      </x:c>
      <x:c r="Z119" s="299" t="str">
        <x:f>IF(Y119="","",IF(Y119&gt;0,"Adoption increased",IF(Y119=0,"Broadly unchanged","Adoption maturity lower")))</x:f>
        <x:v>Adoption increased</x:v>
      </x:c>
      <x:c r="AA119" s="300" t="str">
        <x:f>IFERROR(VLOOKUP(Q119,'Adoption Methodology'!$F$5:$H$12,3,FALSE),"Medium")</x:f>
        <x:v>High</x:v>
      </x:c>
      <x:c r="AB119" s="299" t="str">
        <x:f>IFERROR(VLOOKUP(A119,'Adoption Methodology'!$K$5:$L$14,2,FALSE),IFERROR(VLOOKUP(B119,'Adoption Methodology'!$N$5:$O$16,2,FALSE),"https://www.gartner.com/en/information-technology/technology-adoption-roadmaps"))</x:f>
        <x:v>https://www.cncf.io/reports/the-cncf-annual-cloud-native-survey/</x:v>
      </x:c>
      <x:c r="AC119" s="299" t="str">
        <x:f>IF(R119="","Modelled adoption maturity; see Adoption Methodology.",R119&amp;"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20">
      <x:c r="A120" s="299" t="str">
        <x:v>Graph Analytics</x:v>
      </x:c>
      <x:c r="B120" s="299" t="str">
        <x:v>Business / Emerging Technology</x:v>
      </x:c>
      <x:c r="C120" s="300" t="str"/>
      <x:c r="D120" s="300" t="str"/>
      <x:c r="E120" s="300" t="str"/>
      <x:c r="F120" s="300" t="str">
        <x:v>PE</x:v>
      </x:c>
      <x:c r="G120" s="300" t="str"/>
      <x:c r="H120" s="300" t="str"/>
      <x:c r="I120" s="300" t="str"/>
      <x:c r="J120" s="300" t="str"/>
      <x:c r="K120" s="300" t="str"/>
      <x:c r="L120" s="300" t="str"/>
      <x:c r="M120" s="300" t="n">
        <x:f>COUNTIF(C120:L120,"IT")+COUNTIF(C120:L120,"PE")+COUNTIF(C120:L120,"TD")+COUNTIF(C120:L120,"SE")+COUNTIF(C120:L120,"PP")</x:f>
        <x:v>1</x:v>
      </x:c>
      <x:c r="N120" s="300" t="n">
        <x:f>IF(C120&lt;&gt;"",2016,IF(D120&lt;&gt;"",2017,IF(E120&lt;&gt;"",2018,IF(F120&lt;&gt;"",2019,IF(G120&lt;&gt;"",2020,IF(H120&lt;&gt;"",2021,IF(I120&lt;&gt;"",2022,IF(J120&lt;&gt;"",2023,IF(K120&lt;&gt;"",2024,IF(L120&lt;&gt;"",2025,""))))))))))</x:f>
        <x:v>2019</x:v>
      </x:c>
      <x:c r="O120" s="300" t="n">
        <x:f>IF(L120&lt;&gt;"",2025,IF(K120&lt;&gt;"",2024,IF(J120&lt;&gt;"",2023,IF(I120&lt;&gt;"",2022,IF(H120&lt;&gt;"",2021,IF(G120&lt;&gt;"",2020,IF(F120&lt;&gt;"",2019,IF(E120&lt;&gt;"",2018,IF(D120&lt;&gt;"",2017,IF(C120&lt;&gt;"",2016,""))))))))))</x:f>
        <x:v>2019</x:v>
      </x:c>
      <x:c r="P120" s="299" t="str">
        <x:v>Exited flagship; may continue on specialist Hype Cycles</x:v>
      </x:c>
      <x:c r="Q120" s="299" t="str">
        <x:v>Established / mainstream</x:v>
      </x:c>
      <x:c r="R120" s="299" t="str">
        <x:v>By 2026 this capability is commercially established or embedded in mainstream enterprise/consumer technology, even if the original Gartner label is no longer prominent.</x:v>
      </x:c>
      <x:c r="S120" s="299" t="str"/>
      <x:c r="T120" s="300" t="str">
        <x:f>IFERROR(INDEX($C120:$L120,1,MATCH($N120,$C$4:$L$4,0)),"")</x:f>
        <x:v>PE</x:v>
      </x:c>
      <x:c r="U120" s="300" t="n">
        <x:f>IFERROR(VLOOKUP(T120,'Adoption Methodology'!$F$18:$G$22,2,FALSE),"")</x:f>
        <x:v>2</x:v>
      </x:c>
      <x:c r="V120" s="299" t="str">
        <x:f>IFERROR(VLOOKUP(U120,'Adoption Methodology'!$A$5:$C$10,3,FALSE),"")</x:f>
        <x:v>≈5–15% of relevant market; credible deployments but limited scale</x:v>
      </x:c>
      <x:c r="W120" s="300" t="n">
        <x:f>IFERROR(VLOOKUP(Q120,'Adoption Methodology'!$F$5:$H$12,2,FALSE),"")</x:f>
        <x:v>5</x:v>
      </x:c>
      <x:c r="X120" s="299" t="str">
        <x:f>IFERROR(VLOOKUP(W120,'Adoption Methodology'!$A$5:$C$10,3,FALSE),"")</x:f>
        <x:v>&gt;60% in leading/addressable segments, or effectively a standard/default capability</x:v>
      </x:c>
      <x:c r="Y120" s="300" t="n">
        <x:f>IF(OR(U120="",W120=""),"",W120-U120)</x:f>
        <x:v>3</x:v>
      </x:c>
      <x:c r="Z120" s="299" t="str">
        <x:f>IF(Y120="","",IF(Y120&gt;0,"Adoption increased",IF(Y120=0,"Broadly unchanged","Adoption maturity lower")))</x:f>
        <x:v>Adoption increased</x:v>
      </x:c>
      <x:c r="AA120" s="300" t="str">
        <x:f>IFERROR(VLOOKUP(Q120,'Adoption Methodology'!$F$5:$H$12,3,FALSE),"Medium")</x:f>
        <x:v>High</x:v>
      </x:c>
      <x:c r="AB120" s="299" t="str">
        <x:f>IFERROR(VLOOKUP(A120,'Adoption Methodology'!$K$5:$L$14,2,FALSE),IFERROR(VLOOKUP(B120,'Adoption Methodology'!$N$5:$O$16,2,FALSE),"https://www.gartner.com/en/information-technology/technology-adoption-roadmaps"))</x:f>
        <x:v>https://www.gartner.com/en/information-technology/technology-adoption-roadmaps</x:v>
      </x:c>
      <x:c r="AC120" s="299" t="str">
        <x:f>IF(R120="","Modelled adoption maturity; see Adoption Methodology.",R120&amp;"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21">
      <x:c r="A121" s="299" t="str">
        <x:v>Graph Data Science</x:v>
      </x:c>
      <x:c r="B121" s="299" t="str">
        <x:v>AI / Data / Analytics</x:v>
      </x:c>
      <x:c r="C121" s="300" t="str"/>
      <x:c r="D121" s="300" t="str"/>
      <x:c r="E121" s="300" t="str"/>
      <x:c r="F121" s="300" t="str"/>
      <x:c r="G121" s="300" t="str"/>
      <x:c r="H121" s="300" t="str"/>
      <x:c r="I121" s="300" t="str"/>
      <x:c r="J121" s="300" t="str">
        <x:v>IT</x:v>
      </x:c>
      <x:c r="K121" s="300" t="str"/>
      <x:c r="L121" s="300" t="str"/>
      <x:c r="M121" s="300" t="n">
        <x:f>COUNTIF(C121:L121,"IT")+COUNTIF(C121:L121,"PE")+COUNTIF(C121:L121,"TD")+COUNTIF(C121:L121,"SE")+COUNTIF(C121:L121,"PP")</x:f>
        <x:v>1</x:v>
      </x:c>
      <x:c r="N121" s="300" t="n">
        <x:f>IF(C121&lt;&gt;"",2016,IF(D121&lt;&gt;"",2017,IF(E121&lt;&gt;"",2018,IF(F121&lt;&gt;"",2019,IF(G121&lt;&gt;"",2020,IF(H121&lt;&gt;"",2021,IF(I121&lt;&gt;"",2022,IF(J121&lt;&gt;"",2023,IF(K121&lt;&gt;"",2024,IF(L121&lt;&gt;"",2025,""))))))))))</x:f>
        <x:v>2023</x:v>
      </x:c>
      <x:c r="O121" s="300" t="n">
        <x:f>IF(L121&lt;&gt;"",2025,IF(K121&lt;&gt;"",2024,IF(J121&lt;&gt;"",2023,IF(I121&lt;&gt;"",2022,IF(H121&lt;&gt;"",2021,IF(G121&lt;&gt;"",2020,IF(F121&lt;&gt;"",2019,IF(E121&lt;&gt;"",2018,IF(D121&lt;&gt;"",2017,IF(C121&lt;&gt;"",2016,""))))))))))</x:f>
        <x:v>2023</x:v>
      </x:c>
      <x:c r="P121" s="299" t="str">
        <x:v>Exited flagship; may continue on specialist Hype Cycles</x:v>
      </x:c>
      <x:c r="Q121" s="299" t="str">
        <x:v>Established / mainstream</x:v>
      </x:c>
      <x:c r="R121" s="299" t="str">
        <x:v>By 2026 this capability is commercially established or embedded in mainstream enterprise/consumer technology, even if the original Gartner label is no longer prominent.</x:v>
      </x:c>
      <x:c r="S121" s="299" t="str"/>
      <x:c r="T121" s="300" t="str">
        <x:f>IFERROR(INDEX($C121:$L121,1,MATCH($N121,$C$4:$L$4,0)),"")</x:f>
        <x:v>IT</x:v>
      </x:c>
      <x:c r="U121" s="300" t="n">
        <x:f>IFERROR(VLOOKUP(T121,'Adoption Methodology'!$F$18:$G$22,2,FALSE),"")</x:f>
        <x:v>1</x:v>
      </x:c>
      <x:c r="V121" s="299" t="str">
        <x:f>IFERROR(VLOOKUP(U121,'Adoption Methodology'!$A$5:$C$10,3,FALSE),"")</x:f>
        <x:v>≈1–5% of relevant market; prototypes, pilots or very early deployments</x:v>
      </x:c>
      <x:c r="W121" s="300" t="n">
        <x:f>IFERROR(VLOOKUP(Q121,'Adoption Methodology'!$F$5:$H$12,2,FALSE),"")</x:f>
        <x:v>5</x:v>
      </x:c>
      <x:c r="X121" s="299" t="str">
        <x:f>IFERROR(VLOOKUP(W121,'Adoption Methodology'!$A$5:$C$10,3,FALSE),"")</x:f>
        <x:v>&gt;60% in leading/addressable segments, or effectively a standard/default capability</x:v>
      </x:c>
      <x:c r="Y121" s="300" t="n">
        <x:f>IF(OR(U121="",W121=""),"",W121-U121)</x:f>
        <x:v>4</x:v>
      </x:c>
      <x:c r="Z121" s="299" t="str">
        <x:f>IF(Y121="","",IF(Y121&gt;0,"Adoption increased",IF(Y121=0,"Broadly unchanged","Adoption maturity lower")))</x:f>
        <x:v>Adoption increased</x:v>
      </x:c>
      <x:c r="AA121" s="300" t="str">
        <x:f>IFERROR(VLOOKUP(Q121,'Adoption Methodology'!$F$5:$H$12,3,FALSE),"Medium")</x:f>
        <x:v>High</x:v>
      </x:c>
      <x:c r="AB121" s="299" t="str">
        <x:f>IFERROR(VLOOKUP(A121,'Adoption Methodology'!$K$5:$L$14,2,FALSE),IFERROR(VLOOKUP(B121,'Adoption Methodology'!$N$5:$O$16,2,FALSE),"https://www.gartner.com/en/information-technology/technology-adoption-roadmaps"))</x:f>
        <x:v>https://www.mckinsey.com/capabilities/quantumblack/our-insights/the-state-of-ai</x:v>
      </x:c>
      <x:c r="AC121" s="299" t="str">
        <x:f>IF(R121="","Modelled adoption maturity; see Adoption Methodology.",R121&amp;"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22">
      <x:c r="A122" s="299" t="str">
        <x:v>Health Passport</x:v>
      </x:c>
      <x:c r="B122" s="299" t="str">
        <x:v>Business / Emerging Technology</x:v>
      </x:c>
      <x:c r="C122" s="300" t="str"/>
      <x:c r="D122" s="300" t="str"/>
      <x:c r="E122" s="300" t="str"/>
      <x:c r="F122" s="300" t="str"/>
      <x:c r="G122" s="300" t="str">
        <x:v>IT</x:v>
      </x:c>
      <x:c r="H122" s="300" t="str"/>
      <x:c r="I122" s="300" t="str"/>
      <x:c r="J122" s="300" t="str"/>
      <x:c r="K122" s="300" t="str"/>
      <x:c r="L122" s="300" t="str"/>
      <x:c r="M122" s="300" t="n">
        <x:f>COUNTIF(C122:L122,"IT")+COUNTIF(C122:L122,"PE")+COUNTIF(C122:L122,"TD")+COUNTIF(C122:L122,"SE")+COUNTIF(C122:L122,"PP")</x:f>
        <x:v>1</x:v>
      </x:c>
      <x:c r="N122" s="300" t="n">
        <x:f>IF(C122&lt;&gt;"",2016,IF(D122&lt;&gt;"",2017,IF(E122&lt;&gt;"",2018,IF(F122&lt;&gt;"",2019,IF(G122&lt;&gt;"",2020,IF(H122&lt;&gt;"",2021,IF(I122&lt;&gt;"",2022,IF(J122&lt;&gt;"",2023,IF(K122&lt;&gt;"",2024,IF(L122&lt;&gt;"",2025,""))))))))))</x:f>
        <x:v>2020</x:v>
      </x:c>
      <x:c r="O122" s="300" t="n">
        <x:f>IF(L122&lt;&gt;"",2025,IF(K122&lt;&gt;"",2024,IF(J122&lt;&gt;"",2023,IF(I122&lt;&gt;"",2022,IF(H122&lt;&gt;"",2021,IF(G122&lt;&gt;"",2020,IF(F122&lt;&gt;"",2019,IF(E122&lt;&gt;"",2018,IF(D122&lt;&gt;"",2017,IF(C122&lt;&gt;"",2016,""))))))))))</x:f>
        <x:v>2020</x:v>
      </x:c>
      <x:c r="P122" s="299" t="str">
        <x:v>Exited flagship; may continue on specialist Hype Cycles</x:v>
      </x:c>
      <x:c r="Q122" s="299" t="str">
        <x:v>Hype cooled / niche</x:v>
      </x:c>
      <x:c r="R122" s="299" t="str">
        <x:v>By 2026 the original hype has materially cooled; use persists in narrower or redefined applications rather than the broad promise implied at peak.</x:v>
      </x:c>
      <x:c r="S122" s="299" t="str"/>
      <x:c r="T122" s="300" t="str">
        <x:f>IFERROR(INDEX($C122:$L122,1,MATCH($N122,$C$4:$L$4,0)),"")</x:f>
        <x:v>IT</x:v>
      </x:c>
      <x:c r="U122" s="300" t="n">
        <x:f>IFERROR(VLOOKUP(T122,'Adoption Methodology'!$F$18:$G$22,2,FALSE),"")</x:f>
        <x:v>1</x:v>
      </x:c>
      <x:c r="V122" s="299" t="str">
        <x:f>IFERROR(VLOOKUP(U122,'Adoption Methodology'!$A$5:$C$10,3,FALSE),"")</x:f>
        <x:v>≈1–5% of relevant market; prototypes, pilots or very early deployments</x:v>
      </x:c>
      <x:c r="W122" s="300" t="n">
        <x:f>IFERROR(VLOOKUP(Q122,'Adoption Methodology'!$F$5:$H$12,2,FALSE),"")</x:f>
        <x:v>2</x:v>
      </x:c>
      <x:c r="X122" s="299" t="str">
        <x:f>IFERROR(VLOOKUP(W122,'Adoption Methodology'!$A$5:$C$10,3,FALSE),"")</x:f>
        <x:v>≈5–15% of relevant market; credible deployments but limited scale</x:v>
      </x:c>
      <x:c r="Y122" s="300" t="n">
        <x:f>IF(OR(U122="",W122=""),"",W122-U122)</x:f>
        <x:v>1</x:v>
      </x:c>
      <x:c r="Z122" s="299" t="str">
        <x:f>IF(Y122="","",IF(Y122&gt;0,"Adoption increased",IF(Y122=0,"Broadly unchanged","Adoption maturity lower")))</x:f>
        <x:v>Adoption increased</x:v>
      </x:c>
      <x:c r="AA122" s="300" t="str">
        <x:f>IFERROR(VLOOKUP(Q122,'Adoption Methodology'!$F$5:$H$12,3,FALSE),"Medium")</x:f>
        <x:v>Medium</x:v>
      </x:c>
      <x:c r="AB122" s="299" t="str">
        <x:f>IFERROR(VLOOKUP(A122,'Adoption Methodology'!$K$5:$L$14,2,FALSE),IFERROR(VLOOKUP(B122,'Adoption Methodology'!$N$5:$O$16,2,FALSE),"https://www.gartner.com/en/information-technology/technology-adoption-roadmaps"))</x:f>
        <x:v>https://www.gartner.com/en/information-technology/technology-adoption-roadmaps</x:v>
      </x:c>
      <x:c r="AC122" s="299" t="str">
        <x:f>IF(R122="","Modelled adoption maturity; see Adoption Methodology.",R122&amp;"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23">
      <x:c r="A123" s="299" t="str">
        <x:v>Homomorphic Encryption</x:v>
      </x:c>
      <x:c r="B123" s="299" t="str">
        <x:v>Security / Privacy</x:v>
      </x:c>
      <x:c r="C123" s="300" t="str"/>
      <x:c r="D123" s="300" t="str"/>
      <x:c r="E123" s="300" t="str"/>
      <x:c r="F123" s="300" t="str"/>
      <x:c r="G123" s="300" t="str"/>
      <x:c r="H123" s="300" t="str">
        <x:v>IT</x:v>
      </x:c>
      <x:c r="I123" s="300" t="str"/>
      <x:c r="J123" s="300" t="str">
        <x:v>IT</x:v>
      </x:c>
      <x:c r="K123" s="300" t="str">
        <x:v>PE</x:v>
      </x:c>
      <x:c r="L123" s="300" t="str">
        <x:v>PE</x:v>
      </x:c>
      <x:c r="M123" s="300" t="n">
        <x:f>COUNTIF(C123:L123,"IT")+COUNTIF(C123:L123,"PE")+COUNTIF(C123:L123,"TD")+COUNTIF(C123:L123,"SE")+COUNTIF(C123:L123,"PP")</x:f>
        <x:v>4</x:v>
      </x:c>
      <x:c r="N123" s="300" t="n">
        <x:f>IF(C123&lt;&gt;"",2016,IF(D123&lt;&gt;"",2017,IF(E123&lt;&gt;"",2018,IF(F123&lt;&gt;"",2019,IF(G123&lt;&gt;"",2020,IF(H123&lt;&gt;"",2021,IF(I123&lt;&gt;"",2022,IF(J123&lt;&gt;"",2023,IF(K123&lt;&gt;"",2024,IF(L123&lt;&gt;"",2025,""))))))))))</x:f>
        <x:v>2021</x:v>
      </x:c>
      <x:c r="O123" s="300" t="n">
        <x:f>IF(L123&lt;&gt;"",2025,IF(K123&lt;&gt;"",2024,IF(J123&lt;&gt;"",2023,IF(I123&lt;&gt;"",2022,IF(H123&lt;&gt;"",2021,IF(G123&lt;&gt;"",2020,IF(F123&lt;&gt;"",2019,IF(E123&lt;&gt;"",2018,IF(D123&lt;&gt;"",2017,IF(C123&lt;&gt;"",2016,""))))))))))</x:f>
        <x:v>2025</x:v>
      </x:c>
      <x:c r="P123" s="299" t="str">
        <x:v>Still on the 2025 flagship</x:v>
      </x:c>
      <x:c r="Q123" s="299" t="str">
        <x:v>Established / specialist</x:v>
      </x:c>
      <x:c r="R123" s="299" t="str">
        <x:v>By 2026 there are credible production uses and vendors, but adoption is concentrated in particular workloads, industries or architectures rather than universal.</x:v>
      </x:c>
      <x:c r="S123" s="299" t="str"/>
      <x:c r="T123" s="300" t="str">
        <x:f>IFERROR(INDEX($C123:$L123,1,MATCH($N123,$C$4:$L$4,0)),"")</x:f>
        <x:v>IT</x:v>
      </x:c>
      <x:c r="U123" s="300" t="n">
        <x:f>IFERROR(VLOOKUP(T123,'Adoption Methodology'!$F$18:$G$22,2,FALSE),"")</x:f>
        <x:v>1</x:v>
      </x:c>
      <x:c r="V123" s="299" t="str">
        <x:f>IFERROR(VLOOKUP(U123,'Adoption Methodology'!$A$5:$C$10,3,FALSE),"")</x:f>
        <x:v>≈1–5% of relevant market; prototypes, pilots or very early deployments</x:v>
      </x:c>
      <x:c r="W123" s="300" t="n">
        <x:f>IFERROR(VLOOKUP(Q123,'Adoption Methodology'!$F$5:$H$12,2,FALSE),"")</x:f>
        <x:v>4</x:v>
      </x:c>
      <x:c r="X123" s="299" t="str">
        <x:f>IFERROR(VLOOKUP(W123,'Adoption Methodology'!$A$5:$C$10,3,FALSE),"")</x:f>
        <x:v>≈35–60% within the addressable segment; mature specialist use</x:v>
      </x:c>
      <x:c r="Y123" s="300" t="n">
        <x:f>IF(OR(U123="",W123=""),"",W123-U123)</x:f>
        <x:v>3</x:v>
      </x:c>
      <x:c r="Z123" s="299" t="str">
        <x:f>IF(Y123="","",IF(Y123&gt;0,"Adoption increased",IF(Y123=0,"Broadly unchanged","Adoption maturity lower")))</x:f>
        <x:v>Adoption increased</x:v>
      </x:c>
      <x:c r="AA123" s="300" t="str">
        <x:f>IFERROR(VLOOKUP(Q123,'Adoption Methodology'!$F$5:$H$12,3,FALSE),"Medium")</x:f>
        <x:v>High</x:v>
      </x:c>
      <x:c r="AB123" s="299" t="str">
        <x:f>IFERROR(VLOOKUP(A123,'Adoption Methodology'!$K$5:$L$14,2,FALSE),IFERROR(VLOOKUP(B123,'Adoption Methodology'!$N$5:$O$16,2,FALSE),"https://www.gartner.com/en/information-technology/technology-adoption-roadmaps"))</x:f>
        <x:v>https://www.gartner.com/en/information-technology/technology-adoption-roadmaps</x:v>
      </x:c>
      <x:c r="AC123" s="299" t="str">
        <x:f>IF(R123="","Modelled adoption maturity; see Adoption Methodology.",R123&amp;"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24">
      <x:c r="A124" s="299" t="str">
        <x:v>Human Augmentation</x:v>
      </x:c>
      <x:c r="B124" s="299" t="str">
        <x:v>Human Augmentation / Future of Work</x:v>
      </x:c>
      <x:c r="C124" s="300" t="str">
        <x:v>IT</x:v>
      </x:c>
      <x:c r="D124" s="300" t="str">
        <x:v>IT</x:v>
      </x:c>
      <x:c r="E124" s="300" t="str"/>
      <x:c r="F124" s="300" t="str"/>
      <x:c r="G124" s="300" t="str"/>
      <x:c r="H124" s="300" t="str"/>
      <x:c r="I124" s="300" t="str"/>
      <x:c r="J124" s="300" t="str"/>
      <x:c r="K124" s="300" t="str"/>
      <x:c r="L124" s="300" t="str"/>
      <x:c r="M124" s="300" t="n">
        <x:f>COUNTIF(C124:L124,"IT")+COUNTIF(C124:L124,"PE")+COUNTIF(C124:L124,"TD")+COUNTIF(C124:L124,"SE")+COUNTIF(C124:L124,"PP")</x:f>
        <x:v>2</x:v>
      </x:c>
      <x:c r="N124" s="300" t="n">
        <x:f>IF(C124&lt;&gt;"",2016,IF(D124&lt;&gt;"",2017,IF(E124&lt;&gt;"",2018,IF(F124&lt;&gt;"",2019,IF(G124&lt;&gt;"",2020,IF(H124&lt;&gt;"",2021,IF(I124&lt;&gt;"",2022,IF(J124&lt;&gt;"",2023,IF(K124&lt;&gt;"",2024,IF(L124&lt;&gt;"",2025,""))))))))))</x:f>
        <x:v>2016</x:v>
      </x:c>
      <x:c r="O124" s="300" t="n">
        <x:f>IF(L124&lt;&gt;"",2025,IF(K124&lt;&gt;"",2024,IF(J124&lt;&gt;"",2023,IF(I124&lt;&gt;"",2022,IF(H124&lt;&gt;"",2021,IF(G124&lt;&gt;"",2020,IF(F124&lt;&gt;"",2019,IF(E124&lt;&gt;"",2018,IF(D124&lt;&gt;"",2017,IF(C124&lt;&gt;"",2016,""))))))))))</x:f>
        <x:v>2017</x:v>
      </x:c>
      <x:c r="P124" s="299" t="str">
        <x:v>Exited flagship; may continue on specialist Hype Cycles</x:v>
      </x:c>
      <x:c r="Q124" s="299" t="str">
        <x:v>Still emerging / long-horizon</x:v>
      </x:c>
      <x:c r="R124" s="299" t="str">
        <x:v>By 2026 the technology remains emerging, research-heavy or constrained by economics, engineering, regulation or deployment scale.</x:v>
      </x:c>
      <x:c r="S124" s="299" t="str"/>
      <x:c r="T124" s="300" t="str">
        <x:f>IFERROR(INDEX($C124:$L124,1,MATCH($N124,$C$4:$L$4,0)),"")</x:f>
        <x:v>IT</x:v>
      </x:c>
      <x:c r="U124" s="300" t="n">
        <x:f>IFERROR(VLOOKUP(T124,'Adoption Methodology'!$F$18:$G$22,2,FALSE),"")</x:f>
        <x:v>1</x:v>
      </x:c>
      <x:c r="V124" s="299" t="str">
        <x:f>IFERROR(VLOOKUP(U124,'Adoption Methodology'!$A$5:$C$10,3,FALSE),"")</x:f>
        <x:v>≈1–5% of relevant market; prototypes, pilots or very early deployments</x:v>
      </x:c>
      <x:c r="W124" s="300" t="n">
        <x:f>IFERROR(VLOOKUP(Q124,'Adoption Methodology'!$F$5:$H$12,2,FALSE),"")</x:f>
        <x:v>1</x:v>
      </x:c>
      <x:c r="X124" s="299" t="str">
        <x:f>IFERROR(VLOOKUP(W124,'Adoption Methodology'!$A$5:$C$10,3,FALSE),"")</x:f>
        <x:v>≈1–5% of relevant market; prototypes, pilots or very early deployments</x:v>
      </x:c>
      <x:c r="Y124" s="300" t="n">
        <x:f>IF(OR(U124="",W124=""),"",W124-U124)</x:f>
        <x:v>0</x:v>
      </x:c>
      <x:c r="Z124" s="299" t="str">
        <x:f>IF(Y124="","",IF(Y124&gt;0,"Adoption increased",IF(Y124=0,"Broadly unchanged","Adoption maturity lower")))</x:f>
      </x:c>
      <x:c r="AA124" s="300" t="str">
        <x:f>IFERROR(VLOOKUP(Q124,'Adoption Methodology'!$F$5:$H$12,3,FALSE),"Medium")</x:f>
        <x:v>Medium</x:v>
      </x:c>
      <x:c r="AB124" s="299" t="str">
        <x:f>IFERROR(VLOOKUP(A124,'Adoption Methodology'!$K$5:$L$14,2,FALSE),IFERROR(VLOOKUP(B124,'Adoption Methodology'!$N$5:$O$16,2,FALSE),"https://www.gartner.com/en/information-technology/technology-adoption-roadmaps"))</x:f>
        <x:v>https://www.gartner.com/en/information-technology/technology-adoption-roadmaps</x:v>
      </x:c>
      <x:c r="AC124" s="299" t="str">
        <x:f>IF(R124="","Modelled adoption maturity; see Adoption Methodology.",R124&amp;"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25">
      <x:c r="A125" s="299" t="str">
        <x:v>Humanoid Working Robots</x:v>
      </x:c>
      <x:c r="B125" s="299" t="str">
        <x:v>Autonomy / Robotics</x:v>
      </x:c>
      <x:c r="C125" s="300" t="str"/>
      <x:c r="D125" s="300" t="str"/>
      <x:c r="E125" s="300" t="str"/>
      <x:c r="F125" s="300" t="str"/>
      <x:c r="G125" s="300" t="str"/>
      <x:c r="H125" s="300" t="str"/>
      <x:c r="I125" s="300" t="str"/>
      <x:c r="J125" s="300" t="str"/>
      <x:c r="K125" s="300" t="str">
        <x:v>IT</x:v>
      </x:c>
      <x:c r="L125" s="300" t="str">
        <x:v>IT</x:v>
      </x:c>
      <x:c r="M125" s="300" t="n">
        <x:f>COUNTIF(C125:L125,"IT")+COUNTIF(C125:L125,"PE")+COUNTIF(C125:L125,"TD")+COUNTIF(C125:L125,"SE")+COUNTIF(C125:L125,"PP")</x:f>
        <x:v>2</x:v>
      </x:c>
      <x:c r="N125" s="300" t="n">
        <x:f>IF(C125&lt;&gt;"",2016,IF(D125&lt;&gt;"",2017,IF(E125&lt;&gt;"",2018,IF(F125&lt;&gt;"",2019,IF(G125&lt;&gt;"",2020,IF(H125&lt;&gt;"",2021,IF(I125&lt;&gt;"",2022,IF(J125&lt;&gt;"",2023,IF(K125&lt;&gt;"",2024,IF(L125&lt;&gt;"",2025,""))))))))))</x:f>
        <x:v>2024</x:v>
      </x:c>
      <x:c r="O125" s="300" t="n">
        <x:f>IF(L125&lt;&gt;"",2025,IF(K125&lt;&gt;"",2024,IF(J125&lt;&gt;"",2023,IF(I125&lt;&gt;"",2022,IF(H125&lt;&gt;"",2021,IF(G125&lt;&gt;"",2020,IF(F125&lt;&gt;"",2019,IF(E125&lt;&gt;"",2018,IF(D125&lt;&gt;"",2017,IF(C125&lt;&gt;"",2016,""))))))))))</x:f>
        <x:v>2025</x:v>
      </x:c>
      <x:c r="P125" s="299" t="str">
        <x:v>Still on the 2025 flagship</x:v>
      </x:c>
      <x:c r="Q125" s="299" t="str">
        <x:v>Still emerging / long-horizon</x:v>
      </x:c>
      <x:c r="R125" s="299" t="str">
        <x:v>By 2026 the technology remains emerging, research-heavy or constrained by economics, engineering, regulation or deployment scale.</x:v>
      </x:c>
      <x:c r="S125" s="299" t="str"/>
      <x:c r="T125" s="300" t="str">
        <x:f>IFERROR(INDEX($C125:$L125,1,MATCH($N125,$C$4:$L$4,0)),"")</x:f>
        <x:v>IT</x:v>
      </x:c>
      <x:c r="U125" s="300" t="n">
        <x:f>IFERROR(VLOOKUP(T125,'Adoption Methodology'!$F$18:$G$22,2,FALSE),"")</x:f>
        <x:v>1</x:v>
      </x:c>
      <x:c r="V125" s="299" t="str">
        <x:f>IFERROR(VLOOKUP(U125,'Adoption Methodology'!$A$5:$C$10,3,FALSE),"")</x:f>
        <x:v>≈1–5% of relevant market; prototypes, pilots or very early deployments</x:v>
      </x:c>
      <x:c r="W125" s="300" t="n">
        <x:f>IFERROR(VLOOKUP(Q125,'Adoption Methodology'!$F$5:$H$12,2,FALSE),"")</x:f>
        <x:v>1</x:v>
      </x:c>
      <x:c r="X125" s="299" t="str">
        <x:f>IFERROR(VLOOKUP(W125,'Adoption Methodology'!$A$5:$C$10,3,FALSE),"")</x:f>
        <x:v>≈1–5% of relevant market; prototypes, pilots or very early deployments</x:v>
      </x:c>
      <x:c r="Y125" s="300" t="n">
        <x:f>IF(OR(U125="",W125=""),"",W125-U125)</x:f>
        <x:v>0</x:v>
      </x:c>
      <x:c r="Z125" s="299" t="str">
        <x:f>IF(Y125="","",IF(Y125&gt;0,"Adoption increased",IF(Y125=0,"Broadly unchanged","Adoption maturity lower")))</x:f>
      </x:c>
      <x:c r="AA125" s="300" t="str">
        <x:f>IFERROR(VLOOKUP(Q125,'Adoption Methodology'!$F$5:$H$12,3,FALSE),"Medium")</x:f>
        <x:v>Medium</x:v>
      </x:c>
      <x:c r="AB125" s="299" t="str">
        <x:f>IFERROR(VLOOKUP(A125,'Adoption Methodology'!$K$5:$L$14,2,FALSE),IFERROR(VLOOKUP(B125,'Adoption Methodology'!$N$5:$O$16,2,FALSE),"https://www.gartner.com/en/information-technology/technology-adoption-roadmaps"))</x:f>
        <x:v>https://ifr.org/worldrobotics/report-2025</x:v>
      </x:c>
      <x:c r="AC125" s="299" t="str">
        <x:f>IF(R125="","Modelled adoption maturity; see Adoption Methodology.",R125&amp;"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26">
      <x:c r="A126" s="299" t="str">
        <x:v>Immersive Workspaces</x:v>
      </x:c>
      <x:c r="B126" s="299" t="str">
        <x:v>Experience / Spatial Computing</x:v>
      </x:c>
      <x:c r="C126" s="300" t="str"/>
      <x:c r="D126" s="300" t="str"/>
      <x:c r="E126" s="300" t="str"/>
      <x:c r="F126" s="300" t="str">
        <x:v>IT</x:v>
      </x:c>
      <x:c r="G126" s="300" t="str"/>
      <x:c r="H126" s="300" t="str"/>
      <x:c r="I126" s="300" t="str"/>
      <x:c r="J126" s="300" t="str"/>
      <x:c r="K126" s="300" t="str"/>
      <x:c r="L126" s="300" t="str"/>
      <x:c r="M126" s="300" t="n">
        <x:f>COUNTIF(C126:L126,"IT")+COUNTIF(C126:L126,"PE")+COUNTIF(C126:L126,"TD")+COUNTIF(C126:L126,"SE")+COUNTIF(C126:L126,"PP")</x:f>
        <x:v>1</x:v>
      </x:c>
      <x:c r="N126" s="300" t="n">
        <x:f>IF(C126&lt;&gt;"",2016,IF(D126&lt;&gt;"",2017,IF(E126&lt;&gt;"",2018,IF(F126&lt;&gt;"",2019,IF(G126&lt;&gt;"",2020,IF(H126&lt;&gt;"",2021,IF(I126&lt;&gt;"",2022,IF(J126&lt;&gt;"",2023,IF(K126&lt;&gt;"",2024,IF(L126&lt;&gt;"",2025,""))))))))))</x:f>
        <x:v>2019</x:v>
      </x:c>
      <x:c r="O126" s="300" t="n">
        <x:f>IF(L126&lt;&gt;"",2025,IF(K126&lt;&gt;"",2024,IF(J126&lt;&gt;"",2023,IF(I126&lt;&gt;"",2022,IF(H126&lt;&gt;"",2021,IF(G126&lt;&gt;"",2020,IF(F126&lt;&gt;"",2019,IF(E126&lt;&gt;"",2018,IF(D126&lt;&gt;"",2017,IF(C126&lt;&gt;"",2016,""))))))))))</x:f>
        <x:v>2019</x:v>
      </x:c>
      <x:c r="P126" s="299" t="str">
        <x:v>Exited flagship; may continue on specialist Hype Cycles</x:v>
      </x:c>
      <x:c r="Q126" s="299" t="str">
        <x:v>Exited flagship / specialist</x:v>
      </x:c>
      <x:c r="R126" s="299" t="str">
        <x:v>The label left the flagship cycle and is now best viewed as specialist, absorbed into adjacent categories, or lower-profile rather than a simple success/failure.</x:v>
      </x:c>
      <x:c r="S126" s="299" t="str"/>
      <x:c r="T126" s="300" t="str">
        <x:f>IFERROR(INDEX($C126:$L126,1,MATCH($N126,$C$4:$L$4,0)),"")</x:f>
        <x:v>IT</x:v>
      </x:c>
      <x:c r="U126" s="300" t="n">
        <x:f>IFERROR(VLOOKUP(T126,'Adoption Methodology'!$F$18:$G$22,2,FALSE),"")</x:f>
        <x:v>1</x:v>
      </x:c>
      <x:c r="V126" s="299" t="str">
        <x:f>IFERROR(VLOOKUP(U126,'Adoption Methodology'!$A$5:$C$10,3,FALSE),"")</x:f>
        <x:v>≈1–5% of relevant market; prototypes, pilots or very early deployments</x:v>
      </x:c>
      <x:c r="W126" s="300" t="n">
        <x:f>IFERROR(VLOOKUP(Q126,'Adoption Methodology'!$F$5:$H$12,2,FALSE),"")</x:f>
        <x:v>3</x:v>
      </x:c>
      <x:c r="X126" s="299" t="str">
        <x:f>IFERROR(VLOOKUP(W126,'Adoption Methodology'!$A$5:$C$10,3,FALSE),"")</x:f>
        <x:v>≈15–35% of relevant market, or capability absorbed into successor platforms</x:v>
      </x:c>
      <x:c r="Y126" s="300" t="n">
        <x:f>IF(OR(U126="",W126=""),"",W126-U126)</x:f>
        <x:v>2</x:v>
      </x:c>
      <x:c r="Z126" s="299" t="str">
        <x:f>IF(Y126="","",IF(Y126&gt;0,"Adoption increased",IF(Y126=0,"Broadly unchanged","Adoption maturity lower")))</x:f>
        <x:v>Adoption increased</x:v>
      </x:c>
      <x:c r="AA126" s="300" t="str">
        <x:f>IFERROR(VLOOKUP(Q126,'Adoption Methodology'!$F$5:$H$12,3,FALSE),"Medium")</x:f>
        <x:v>Medium</x:v>
      </x:c>
      <x:c r="AB126" s="299" t="str">
        <x:f>IFERROR(VLOOKUP(A126,'Adoption Methodology'!$K$5:$L$14,2,FALSE),IFERROR(VLOOKUP(B126,'Adoption Methodology'!$N$5:$O$16,2,FALSE),"https://www.gartner.com/en/information-technology/technology-adoption-roadmaps"))</x:f>
        <x:v>https://www.mckinsey.com/featured-insights/mckinsey-explainers/what-is-digital-twin-technology</x:v>
      </x:c>
      <x:c r="AC126" s="299" t="str">
        <x:f>IF(R126="","Modelled adoption maturity; see Adoption Methodology.",R126&amp;"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27">
      <x:c r="A127" s="299" t="str">
        <x:v>Industry Cloud Platforms</x:v>
      </x:c>
      <x:c r="B127" s="299" t="str">
        <x:v>Cloud / Software Engineering</x:v>
      </x:c>
      <x:c r="C127" s="300" t="str"/>
      <x:c r="D127" s="300" t="str"/>
      <x:c r="E127" s="300" t="str"/>
      <x:c r="F127" s="300" t="str"/>
      <x:c r="G127" s="300" t="str"/>
      <x:c r="H127" s="300" t="str"/>
      <x:c r="I127" s="300" t="str">
        <x:v>IT</x:v>
      </x:c>
      <x:c r="J127" s="300" t="str">
        <x:v>IT</x:v>
      </x:c>
      <x:c r="K127" s="300" t="str"/>
      <x:c r="L127" s="300" t="str"/>
      <x:c r="M127" s="300" t="n">
        <x:f>COUNTIF(C127:L127,"IT")+COUNTIF(C127:L127,"PE")+COUNTIF(C127:L127,"TD")+COUNTIF(C127:L127,"SE")+COUNTIF(C127:L127,"PP")</x:f>
        <x:v>2</x:v>
      </x:c>
      <x:c r="N127" s="300" t="n">
        <x:f>IF(C127&lt;&gt;"",2016,IF(D127&lt;&gt;"",2017,IF(E127&lt;&gt;"",2018,IF(F127&lt;&gt;"",2019,IF(G127&lt;&gt;"",2020,IF(H127&lt;&gt;"",2021,IF(I127&lt;&gt;"",2022,IF(J127&lt;&gt;"",2023,IF(K127&lt;&gt;"",2024,IF(L127&lt;&gt;"",2025,""))))))))))</x:f>
        <x:v>2022</x:v>
      </x:c>
      <x:c r="O127" s="300" t="n">
        <x:f>IF(L127&lt;&gt;"",2025,IF(K127&lt;&gt;"",2024,IF(J127&lt;&gt;"",2023,IF(I127&lt;&gt;"",2022,IF(H127&lt;&gt;"",2021,IF(G127&lt;&gt;"",2020,IF(F127&lt;&gt;"",2019,IF(E127&lt;&gt;"",2018,IF(D127&lt;&gt;"",2017,IF(C127&lt;&gt;"",2016,""))))))))))</x:f>
        <x:v>2023</x:v>
      </x:c>
      <x:c r="P127" s="299" t="str">
        <x:v>Exited flagship; may continue on specialist Hype Cycles</x:v>
      </x:c>
      <x:c r="Q127" s="299" t="str">
        <x:v>Established / specialist</x:v>
      </x:c>
      <x:c r="R127" s="299" t="str">
        <x:v>By 2026 there are credible production uses and vendors, but adoption is concentrated in particular workloads, industries or architectures rather than universal.</x:v>
      </x:c>
      <x:c r="S127" s="299" t="str">
        <x:v>Successor wording to Industry Clouds.</x:v>
      </x:c>
      <x:c r="T127" s="300" t="str">
        <x:f>IFERROR(INDEX($C127:$L127,1,MATCH($N127,$C$4:$L$4,0)),"")</x:f>
        <x:v>IT</x:v>
      </x:c>
      <x:c r="U127" s="300" t="n">
        <x:f>IFERROR(VLOOKUP(T127,'Adoption Methodology'!$F$18:$G$22,2,FALSE),"")</x:f>
        <x:v>1</x:v>
      </x:c>
      <x:c r="V127" s="299" t="str">
        <x:f>IFERROR(VLOOKUP(U127,'Adoption Methodology'!$A$5:$C$10,3,FALSE),"")</x:f>
        <x:v>≈1–5% of relevant market; prototypes, pilots or very early deployments</x:v>
      </x:c>
      <x:c r="W127" s="300" t="n">
        <x:f>IFERROR(VLOOKUP(Q127,'Adoption Methodology'!$F$5:$H$12,2,FALSE),"")</x:f>
        <x:v>4</x:v>
      </x:c>
      <x:c r="X127" s="299" t="str">
        <x:f>IFERROR(VLOOKUP(W127,'Adoption Methodology'!$A$5:$C$10,3,FALSE),"")</x:f>
        <x:v>≈35–60% within the addressable segment; mature specialist use</x:v>
      </x:c>
      <x:c r="Y127" s="300" t="n">
        <x:f>IF(OR(U127="",W127=""),"",W127-U127)</x:f>
        <x:v>3</x:v>
      </x:c>
      <x:c r="Z127" s="299" t="str">
        <x:f>IF(Y127="","",IF(Y127&gt;0,"Adoption increased",IF(Y127=0,"Broadly unchanged","Adoption maturity lower")))</x:f>
        <x:v>Adoption increased</x:v>
      </x:c>
      <x:c r="AA127" s="300" t="str">
        <x:f>IFERROR(VLOOKUP(Q127,'Adoption Methodology'!$F$5:$H$12,3,FALSE),"Medium")</x:f>
        <x:v>High</x:v>
      </x:c>
      <x:c r="AB127" s="299" t="str">
        <x:f>IFERROR(VLOOKUP(A127,'Adoption Methodology'!$K$5:$L$14,2,FALSE),IFERROR(VLOOKUP(B127,'Adoption Methodology'!$N$5:$O$16,2,FALSE),"https://www.gartner.com/en/information-technology/technology-adoption-roadmaps"))</x:f>
        <x:v>https://www.cncf.io/reports/the-cncf-annual-cloud-native-survey/</x:v>
      </x:c>
      <x:c r="AC127" s="299" t="str">
        <x:f>IF(R127="","Modelled adoption maturity; see Adoption Methodology.",R127&amp;"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28">
      <x:c r="A128" s="299" t="str">
        <x:v>Industry Clouds</x:v>
      </x:c>
      <x:c r="B128" s="299" t="str">
        <x:v>Cloud / Software Engineering</x:v>
      </x:c>
      <x:c r="C128" s="300" t="str"/>
      <x:c r="D128" s="300" t="str"/>
      <x:c r="E128" s="300" t="str"/>
      <x:c r="F128" s="300" t="str"/>
      <x:c r="G128" s="300" t="str"/>
      <x:c r="H128" s="300" t="str">
        <x:v>IT</x:v>
      </x:c>
      <x:c r="I128" s="300" t="str"/>
      <x:c r="J128" s="300" t="str"/>
      <x:c r="K128" s="300" t="str"/>
      <x:c r="L128" s="300" t="str"/>
      <x:c r="M128" s="300" t="n">
        <x:f>COUNTIF(C128:L128,"IT")+COUNTIF(C128:L128,"PE")+COUNTIF(C128:L128,"TD")+COUNTIF(C128:L128,"SE")+COUNTIF(C128:L128,"PP")</x:f>
        <x:v>1</x:v>
      </x:c>
      <x:c r="N128" s="300" t="n">
        <x:f>IF(C128&lt;&gt;"",2016,IF(D128&lt;&gt;"",2017,IF(E128&lt;&gt;"",2018,IF(F128&lt;&gt;"",2019,IF(G128&lt;&gt;"",2020,IF(H128&lt;&gt;"",2021,IF(I128&lt;&gt;"",2022,IF(J128&lt;&gt;"",2023,IF(K128&lt;&gt;"",2024,IF(L128&lt;&gt;"",2025,""))))))))))</x:f>
        <x:v>2021</x:v>
      </x:c>
      <x:c r="O128" s="300" t="n">
        <x:f>IF(L128&lt;&gt;"",2025,IF(K128&lt;&gt;"",2024,IF(J128&lt;&gt;"",2023,IF(I128&lt;&gt;"",2022,IF(H128&lt;&gt;"",2021,IF(G128&lt;&gt;"",2020,IF(F128&lt;&gt;"",2019,IF(E128&lt;&gt;"",2018,IF(D128&lt;&gt;"",2017,IF(C128&lt;&gt;"",2016,""))))))))))</x:f>
        <x:v>2021</x:v>
      </x:c>
      <x:c r="P128" s="299" t="str">
        <x:v>Exited flagship; may continue on specialist Hype Cycles</x:v>
      </x:c>
      <x:c r="Q128" s="299" t="str">
        <x:v>Established / specialist</x:v>
      </x:c>
      <x:c r="R128" s="299" t="str">
        <x:v>By 2026 there are credible production uses and vendors, but adoption is concentrated in particular workloads, industries or architectures rather than universal.</x:v>
      </x:c>
      <x:c r="S128" s="299" t="str">
        <x:v>Related later label: Industry Cloud Platforms.</x:v>
      </x:c>
      <x:c r="T128" s="300" t="str">
        <x:f>IFERROR(INDEX($C128:$L128,1,MATCH($N128,$C$4:$L$4,0)),"")</x:f>
        <x:v>IT</x:v>
      </x:c>
      <x:c r="U128" s="300" t="n">
        <x:f>IFERROR(VLOOKUP(T128,'Adoption Methodology'!$F$18:$G$22,2,FALSE),"")</x:f>
        <x:v>1</x:v>
      </x:c>
      <x:c r="V128" s="299" t="str">
        <x:f>IFERROR(VLOOKUP(U128,'Adoption Methodology'!$A$5:$C$10,3,FALSE),"")</x:f>
        <x:v>≈1–5% of relevant market; prototypes, pilots or very early deployments</x:v>
      </x:c>
      <x:c r="W128" s="300" t="n">
        <x:f>IFERROR(VLOOKUP(Q128,'Adoption Methodology'!$F$5:$H$12,2,FALSE),"")</x:f>
        <x:v>4</x:v>
      </x:c>
      <x:c r="X128" s="299" t="str">
        <x:f>IFERROR(VLOOKUP(W128,'Adoption Methodology'!$A$5:$C$10,3,FALSE),"")</x:f>
        <x:v>≈35–60% within the addressable segment; mature specialist use</x:v>
      </x:c>
      <x:c r="Y128" s="300" t="n">
        <x:f>IF(OR(U128="",W128=""),"",W128-U128)</x:f>
        <x:v>3</x:v>
      </x:c>
      <x:c r="Z128" s="299" t="str">
        <x:f>IF(Y128="","",IF(Y128&gt;0,"Adoption increased",IF(Y128=0,"Broadly unchanged","Adoption maturity lower")))</x:f>
        <x:v>Adoption increased</x:v>
      </x:c>
      <x:c r="AA128" s="300" t="str">
        <x:f>IFERROR(VLOOKUP(Q128,'Adoption Methodology'!$F$5:$H$12,3,FALSE),"Medium")</x:f>
        <x:v>High</x:v>
      </x:c>
      <x:c r="AB128" s="299" t="str">
        <x:f>IFERROR(VLOOKUP(A128,'Adoption Methodology'!$K$5:$L$14,2,FALSE),IFERROR(VLOOKUP(B128,'Adoption Methodology'!$N$5:$O$16,2,FALSE),"https://www.gartner.com/en/information-technology/technology-adoption-roadmaps"))</x:f>
        <x:v>https://www.cncf.io/reports/the-cncf-annual-cloud-native-survey/</x:v>
      </x:c>
      <x:c r="AC128" s="299" t="str">
        <x:f>IF(R128="","Modelled adoption maturity; see Adoption Methodology.",R128&amp;"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29">
      <x:c r="A129" s="299" t="str">
        <x:v>Influence Engineering</x:v>
      </x:c>
      <x:c r="B129" s="299" t="str">
        <x:v>Business / Emerging Technology</x:v>
      </x:c>
      <x:c r="C129" s="300" t="str"/>
      <x:c r="D129" s="300" t="str"/>
      <x:c r="E129" s="300" t="str"/>
      <x:c r="F129" s="300" t="str"/>
      <x:c r="G129" s="300" t="str"/>
      <x:c r="H129" s="300" t="str">
        <x:v>IT</x:v>
      </x:c>
      <x:c r="I129" s="300" t="str"/>
      <x:c r="J129" s="300" t="str"/>
      <x:c r="K129" s="300" t="str"/>
      <x:c r="L129" s="300" t="str"/>
      <x:c r="M129" s="300" t="n">
        <x:f>COUNTIF(C129:L129,"IT")+COUNTIF(C129:L129,"PE")+COUNTIF(C129:L129,"TD")+COUNTIF(C129:L129,"SE")+COUNTIF(C129:L129,"PP")</x:f>
        <x:v>1</x:v>
      </x:c>
      <x:c r="N129" s="300" t="n">
        <x:f>IF(C129&lt;&gt;"",2016,IF(D129&lt;&gt;"",2017,IF(E129&lt;&gt;"",2018,IF(F129&lt;&gt;"",2019,IF(G129&lt;&gt;"",2020,IF(H129&lt;&gt;"",2021,IF(I129&lt;&gt;"",2022,IF(J129&lt;&gt;"",2023,IF(K129&lt;&gt;"",2024,IF(L129&lt;&gt;"",2025,""))))))))))</x:f>
        <x:v>2021</x:v>
      </x:c>
      <x:c r="O129" s="300" t="n">
        <x:f>IF(L129&lt;&gt;"",2025,IF(K129&lt;&gt;"",2024,IF(J129&lt;&gt;"",2023,IF(I129&lt;&gt;"",2022,IF(H129&lt;&gt;"",2021,IF(G129&lt;&gt;"",2020,IF(F129&lt;&gt;"",2019,IF(E129&lt;&gt;"",2018,IF(D129&lt;&gt;"",2017,IF(C129&lt;&gt;"",2016,""))))))))))</x:f>
        <x:v>2021</x:v>
      </x:c>
      <x:c r="P129" s="299" t="str">
        <x:v>Exited flagship; may continue on specialist Hype Cycles</x:v>
      </x:c>
      <x:c r="Q129" s="299" t="str">
        <x:v>Exited flagship / evolving</x:v>
      </x:c>
      <x:c r="R129" s="299" t="str">
        <x:v>The label left the flagship cycle; Gartner’s flagship is deliberately dynamic, so exit should not be read as failure without checking specialist Hype Cycles.</x:v>
      </x:c>
      <x:c r="S129" s="299" t="str"/>
      <x:c r="T129" s="300" t="str">
        <x:f>IFERROR(INDEX($C129:$L129,1,MATCH($N129,$C$4:$L$4,0)),"")</x:f>
        <x:v>IT</x:v>
      </x:c>
      <x:c r="U129" s="300" t="n">
        <x:f>IFERROR(VLOOKUP(T129,'Adoption Methodology'!$F$18:$G$22,2,FALSE),"")</x:f>
        <x:v>1</x:v>
      </x:c>
      <x:c r="V129" s="299" t="str">
        <x:f>IFERROR(VLOOKUP(U129,'Adoption Methodology'!$A$5:$C$10,3,FALSE),"")</x:f>
        <x:v>≈1–5% of relevant market; prototypes, pilots or very early deployments</x:v>
      </x:c>
      <x:c r="W129" s="300" t="n">
        <x:f>IFERROR(VLOOKUP(Q129,'Adoption Methodology'!$F$5:$H$12,2,FALSE),"")</x:f>
        <x:v>2</x:v>
      </x:c>
      <x:c r="X129" s="299" t="str">
        <x:f>IFERROR(VLOOKUP(W129,'Adoption Methodology'!$A$5:$C$10,3,FALSE),"")</x:f>
        <x:v>≈5–15% of relevant market; credible deployments but limited scale</x:v>
      </x:c>
      <x:c r="Y129" s="300" t="n">
        <x:f>IF(OR(U129="",W129=""),"",W129-U129)</x:f>
        <x:v>1</x:v>
      </x:c>
      <x:c r="Z129" s="299" t="str">
        <x:f>IF(Y129="","",IF(Y129&gt;0,"Adoption increased",IF(Y129=0,"Broadly unchanged","Adoption maturity lower")))</x:f>
        <x:v>Adoption increased</x:v>
      </x:c>
      <x:c r="AA129" s="300" t="str">
        <x:f>IFERROR(VLOOKUP(Q129,'Adoption Methodology'!$F$5:$H$12,3,FALSE),"Medium")</x:f>
        <x:v>Medium-Low</x:v>
      </x:c>
      <x:c r="AB129" s="299" t="str">
        <x:f>IFERROR(VLOOKUP(A129,'Adoption Methodology'!$K$5:$L$14,2,FALSE),IFERROR(VLOOKUP(B129,'Adoption Methodology'!$N$5:$O$16,2,FALSE),"https://www.gartner.com/en/information-technology/technology-adoption-roadmaps"))</x:f>
        <x:v>https://www.gartner.com/en/information-technology/technology-adoption-roadmaps</x:v>
      </x:c>
      <x:c r="AC129" s="299" t="str">
        <x:f>IF(R129="","Modelled adoption maturity; see Adoption Methodology.",R129&amp;"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30">
      <x:c r="A130" s="299" t="str">
        <x:v>Intelligent Simulation</x:v>
      </x:c>
      <x:c r="B130" s="299" t="str">
        <x:v>Business / Emerging Technology</x:v>
      </x:c>
      <x:c r="C130" s="300" t="str"/>
      <x:c r="D130" s="300" t="str"/>
      <x:c r="E130" s="300" t="str"/>
      <x:c r="F130" s="300" t="str"/>
      <x:c r="G130" s="300" t="str"/>
      <x:c r="H130" s="300" t="str"/>
      <x:c r="I130" s="300" t="str"/>
      <x:c r="J130" s="300" t="str"/>
      <x:c r="K130" s="300" t="str"/>
      <x:c r="L130" s="300" t="str">
        <x:v>PE</x:v>
      </x:c>
      <x:c r="M130" s="300" t="n">
        <x:f>COUNTIF(C130:L130,"IT")+COUNTIF(C130:L130,"PE")+COUNTIF(C130:L130,"TD")+COUNTIF(C130:L130,"SE")+COUNTIF(C130:L130,"PP")</x:f>
        <x:v>1</x:v>
      </x:c>
      <x:c r="N130" s="300" t="n">
        <x:f>IF(C130&lt;&gt;"",2016,IF(D130&lt;&gt;"",2017,IF(E130&lt;&gt;"",2018,IF(F130&lt;&gt;"",2019,IF(G130&lt;&gt;"",2020,IF(H130&lt;&gt;"",2021,IF(I130&lt;&gt;"",2022,IF(J130&lt;&gt;"",2023,IF(K130&lt;&gt;"",2024,IF(L130&lt;&gt;"",2025,""))))))))))</x:f>
        <x:v>2025</x:v>
      </x:c>
      <x:c r="O130" s="300" t="n">
        <x:f>IF(L130&lt;&gt;"",2025,IF(K130&lt;&gt;"",2024,IF(J130&lt;&gt;"",2023,IF(I130&lt;&gt;"",2022,IF(H130&lt;&gt;"",2021,IF(G130&lt;&gt;"",2020,IF(F130&lt;&gt;"",2019,IF(E130&lt;&gt;"",2018,IF(D130&lt;&gt;"",2017,IF(C130&lt;&gt;"",2016,""))))))))))</x:f>
        <x:v>2025</x:v>
      </x:c>
      <x:c r="P130" s="299" t="str">
        <x:v>Still on the 2025 flagship</x:v>
      </x:c>
      <x:c r="Q130" s="299" t="str">
        <x:v>Still emerging / evolving</x:v>
      </x:c>
      <x:c r="R130" s="299" t="str">
        <x:v>By 2026 the category is still evolving quickly; commercial adoption exists or is beginning, but maturity and durable ROI vary significantly.</x:v>
      </x:c>
      <x:c r="S130" s="299" t="str"/>
      <x:c r="T130" s="300" t="str">
        <x:f>IFERROR(INDEX($C130:$L130,1,MATCH($N130,$C$4:$L$4,0)),"")</x:f>
        <x:v>PE</x:v>
      </x:c>
      <x:c r="U130" s="300" t="n">
        <x:f>IFERROR(VLOOKUP(T130,'Adoption Methodology'!$F$18:$G$22,2,FALSE),"")</x:f>
        <x:v>2</x:v>
      </x:c>
      <x:c r="V130" s="299" t="str">
        <x:f>IFERROR(VLOOKUP(U130,'Adoption Methodology'!$A$5:$C$10,3,FALSE),"")</x:f>
        <x:v>≈5–15% of relevant market; credible deployments but limited scale</x:v>
      </x:c>
      <x:c r="W130" s="300" t="n">
        <x:f>IFERROR(VLOOKUP(Q130,'Adoption Methodology'!$F$5:$H$12,2,FALSE),"")</x:f>
        <x:v>2</x:v>
      </x:c>
      <x:c r="X130" s="299" t="str">
        <x:f>IFERROR(VLOOKUP(W130,'Adoption Methodology'!$A$5:$C$10,3,FALSE),"")</x:f>
        <x:v>≈5–15% of relevant market; credible deployments but limited scale</x:v>
      </x:c>
      <x:c r="Y130" s="300" t="n">
        <x:f>IF(OR(U130="",W130=""),"",W130-U130)</x:f>
        <x:v>0</x:v>
      </x:c>
      <x:c r="Z130" s="299" t="str">
        <x:f>IF(Y130="","",IF(Y130&gt;0,"Adoption increased",IF(Y130=0,"Broadly unchanged","Adoption maturity lower")))</x:f>
      </x:c>
      <x:c r="AA130" s="300" t="str">
        <x:f>IFERROR(VLOOKUP(Q130,'Adoption Methodology'!$F$5:$H$12,3,FALSE),"Medium")</x:f>
        <x:v>Medium</x:v>
      </x:c>
      <x:c r="AB130" s="299" t="str">
        <x:f>IFERROR(VLOOKUP(A130,'Adoption Methodology'!$K$5:$L$14,2,FALSE),IFERROR(VLOOKUP(B130,'Adoption Methodology'!$N$5:$O$16,2,FALSE),"https://www.gartner.com/en/information-technology/technology-adoption-roadmaps"))</x:f>
        <x:v>https://www.gartner.com/en/information-technology/technology-adoption-roadmaps</x:v>
      </x:c>
      <x:c r="AC130" s="299" t="str">
        <x:f>IF(R130="","Modelled adoption maturity; see Adoption Methodology.",R130&amp;"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31">
      <x:c r="A131" s="299" t="str">
        <x:v>Internal Developer Portals</x:v>
      </x:c>
      <x:c r="B131" s="299" t="str">
        <x:v>Cloud / Software Engineering</x:v>
      </x:c>
      <x:c r="C131" s="300" t="str"/>
      <x:c r="D131" s="300" t="str"/>
      <x:c r="E131" s="300" t="str"/>
      <x:c r="F131" s="300" t="str"/>
      <x:c r="G131" s="300" t="str"/>
      <x:c r="H131" s="300" t="str"/>
      <x:c r="I131" s="300" t="str"/>
      <x:c r="J131" s="300" t="str">
        <x:v>IT</x:v>
      </x:c>
      <x:c r="K131" s="300" t="str">
        <x:v>PE</x:v>
      </x:c>
      <x:c r="L131" s="300" t="str"/>
      <x:c r="M131" s="300" t="n">
        <x:f>COUNTIF(C131:L131,"IT")+COUNTIF(C131:L131,"PE")+COUNTIF(C131:L131,"TD")+COUNTIF(C131:L131,"SE")+COUNTIF(C131:L131,"PP")</x:f>
        <x:v>2</x:v>
      </x:c>
      <x:c r="N131" s="300" t="n">
        <x:f>IF(C131&lt;&gt;"",2016,IF(D131&lt;&gt;"",2017,IF(E131&lt;&gt;"",2018,IF(F131&lt;&gt;"",2019,IF(G131&lt;&gt;"",2020,IF(H131&lt;&gt;"",2021,IF(I131&lt;&gt;"",2022,IF(J131&lt;&gt;"",2023,IF(K131&lt;&gt;"",2024,IF(L131&lt;&gt;"",2025,""))))))))))</x:f>
        <x:v>2023</x:v>
      </x:c>
      <x:c r="O131" s="300" t="n">
        <x:f>IF(L131&lt;&gt;"",2025,IF(K131&lt;&gt;"",2024,IF(J131&lt;&gt;"",2023,IF(I131&lt;&gt;"",2022,IF(H131&lt;&gt;"",2021,IF(G131&lt;&gt;"",2020,IF(F131&lt;&gt;"",2019,IF(E131&lt;&gt;"",2018,IF(D131&lt;&gt;"",2017,IF(C131&lt;&gt;"",2016,""))))))))))</x:f>
        <x:v>2024</x:v>
      </x:c>
      <x:c r="P131" s="299" t="str">
        <x:v>Exited flagship; may continue on specialist Hype Cycles</x:v>
      </x:c>
      <x:c r="Q131" s="299" t="str">
        <x:v>Established / mainstream</x:v>
      </x:c>
      <x:c r="R131" s="299" t="str">
        <x:v>By 2026 this capability is commercially established or embedded in mainstream enterprise/consumer technology, even if the original Gartner label is no longer prominent.</x:v>
      </x:c>
      <x:c r="S131" s="299" t="str"/>
      <x:c r="T131" s="300" t="str">
        <x:f>IFERROR(INDEX($C131:$L131,1,MATCH($N131,$C$4:$L$4,0)),"")</x:f>
        <x:v>IT</x:v>
      </x:c>
      <x:c r="U131" s="300" t="n">
        <x:f>IFERROR(VLOOKUP(T131,'Adoption Methodology'!$F$18:$G$22,2,FALSE),"")</x:f>
        <x:v>1</x:v>
      </x:c>
      <x:c r="V131" s="299" t="str">
        <x:f>IFERROR(VLOOKUP(U131,'Adoption Methodology'!$A$5:$C$10,3,FALSE),"")</x:f>
        <x:v>≈1–5% of relevant market; prototypes, pilots or very early deployments</x:v>
      </x:c>
      <x:c r="W131" s="300" t="n">
        <x:f>IFERROR(VLOOKUP(Q131,'Adoption Methodology'!$F$5:$H$12,2,FALSE),"")</x:f>
        <x:v>5</x:v>
      </x:c>
      <x:c r="X131" s="299" t="str">
        <x:f>IFERROR(VLOOKUP(W131,'Adoption Methodology'!$A$5:$C$10,3,FALSE),"")</x:f>
        <x:v>&gt;60% in leading/addressable segments, or effectively a standard/default capability</x:v>
      </x:c>
      <x:c r="Y131" s="300" t="n">
        <x:f>IF(OR(U131="",W131=""),"",W131-U131)</x:f>
        <x:v>4</x:v>
      </x:c>
      <x:c r="Z131" s="299" t="str">
        <x:f>IF(Y131="","",IF(Y131&gt;0,"Adoption increased",IF(Y131=0,"Broadly unchanged","Adoption maturity lower")))</x:f>
        <x:v>Adoption increased</x:v>
      </x:c>
      <x:c r="AA131" s="300" t="str">
        <x:f>IFERROR(VLOOKUP(Q131,'Adoption Methodology'!$F$5:$H$12,3,FALSE),"Medium")</x:f>
        <x:v>High</x:v>
      </x:c>
      <x:c r="AB131" s="299" t="str">
        <x:f>IFERROR(VLOOKUP(A131,'Adoption Methodology'!$K$5:$L$14,2,FALSE),IFERROR(VLOOKUP(B131,'Adoption Methodology'!$N$5:$O$16,2,FALSE),"https://www.gartner.com/en/information-technology/technology-adoption-roadmaps"))</x:f>
        <x:v>https://www.cncf.io/reports/the-cncf-annual-cloud-native-survey/</x:v>
      </x:c>
      <x:c r="AC131" s="299" t="str">
        <x:f>IF(R131="","Modelled adoption maturity; see Adoption Methodology.",R131&amp;"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32">
      <x:c r="A132" s="299" t="str">
        <x:v>Internal Talent Marketplaces</x:v>
      </x:c>
      <x:c r="B132" s="299" t="str">
        <x:v>Business / Emerging Technology</x:v>
      </x:c>
      <x:c r="C132" s="300" t="str"/>
      <x:c r="D132" s="300" t="str"/>
      <x:c r="E132" s="300" t="str"/>
      <x:c r="F132" s="300" t="str"/>
      <x:c r="G132" s="300" t="str"/>
      <x:c r="H132" s="300" t="str"/>
      <x:c r="I132" s="300" t="str">
        <x:v>IT</x:v>
      </x:c>
      <x:c r="J132" s="300" t="str"/>
      <x:c r="K132" s="300" t="str"/>
      <x:c r="L132" s="300" t="str"/>
      <x:c r="M132" s="300" t="n">
        <x:f>COUNTIF(C132:L132,"IT")+COUNTIF(C132:L132,"PE")+COUNTIF(C132:L132,"TD")+COUNTIF(C132:L132,"SE")+COUNTIF(C132:L132,"PP")</x:f>
        <x:v>1</x:v>
      </x:c>
      <x:c r="N132" s="300" t="n">
        <x:f>IF(C132&lt;&gt;"",2016,IF(D132&lt;&gt;"",2017,IF(E132&lt;&gt;"",2018,IF(F132&lt;&gt;"",2019,IF(G132&lt;&gt;"",2020,IF(H132&lt;&gt;"",2021,IF(I132&lt;&gt;"",2022,IF(J132&lt;&gt;"",2023,IF(K132&lt;&gt;"",2024,IF(L132&lt;&gt;"",2025,""))))))))))</x:f>
        <x:v>2022</x:v>
      </x:c>
      <x:c r="O132" s="300" t="n">
        <x:f>IF(L132&lt;&gt;"",2025,IF(K132&lt;&gt;"",2024,IF(J132&lt;&gt;"",2023,IF(I132&lt;&gt;"",2022,IF(H132&lt;&gt;"",2021,IF(G132&lt;&gt;"",2020,IF(F132&lt;&gt;"",2019,IF(E132&lt;&gt;"",2018,IF(D132&lt;&gt;"",2017,IF(C132&lt;&gt;"",2016,""))))))))))</x:f>
        <x:v>2022</x:v>
      </x:c>
      <x:c r="P132" s="299" t="str">
        <x:v>Exited flagship; may continue on specialist Hype Cycles</x:v>
      </x:c>
      <x:c r="Q132" s="299" t="str">
        <x:v>Exited flagship / evolving</x:v>
      </x:c>
      <x:c r="R132" s="299" t="str">
        <x:v>The label left the flagship cycle; Gartner’s flagship is deliberately dynamic, so exit should not be read as failure without checking specialist Hype Cycles.</x:v>
      </x:c>
      <x:c r="S132" s="299" t="str"/>
      <x:c r="T132" s="300" t="str">
        <x:f>IFERROR(INDEX($C132:$L132,1,MATCH($N132,$C$4:$L$4,0)),"")</x:f>
        <x:v>IT</x:v>
      </x:c>
      <x:c r="U132" s="300" t="n">
        <x:f>IFERROR(VLOOKUP(T132,'Adoption Methodology'!$F$18:$G$22,2,FALSE),"")</x:f>
        <x:v>1</x:v>
      </x:c>
      <x:c r="V132" s="299" t="str">
        <x:f>IFERROR(VLOOKUP(U132,'Adoption Methodology'!$A$5:$C$10,3,FALSE),"")</x:f>
        <x:v>≈1–5% of relevant market; prototypes, pilots or very early deployments</x:v>
      </x:c>
      <x:c r="W132" s="300" t="n">
        <x:f>IFERROR(VLOOKUP(Q132,'Adoption Methodology'!$F$5:$H$12,2,FALSE),"")</x:f>
        <x:v>2</x:v>
      </x:c>
      <x:c r="X132" s="299" t="str">
        <x:f>IFERROR(VLOOKUP(W132,'Adoption Methodology'!$A$5:$C$10,3,FALSE),"")</x:f>
        <x:v>≈5–15% of relevant market; credible deployments but limited scale</x:v>
      </x:c>
      <x:c r="Y132" s="300" t="n">
        <x:f>IF(OR(U132="",W132=""),"",W132-U132)</x:f>
        <x:v>1</x:v>
      </x:c>
      <x:c r="Z132" s="299" t="str">
        <x:f>IF(Y132="","",IF(Y132&gt;0,"Adoption increased",IF(Y132=0,"Broadly unchanged","Adoption maturity lower")))</x:f>
        <x:v>Adoption increased</x:v>
      </x:c>
      <x:c r="AA132" s="300" t="str">
        <x:f>IFERROR(VLOOKUP(Q132,'Adoption Methodology'!$F$5:$H$12,3,FALSE),"Medium")</x:f>
        <x:v>Medium-Low</x:v>
      </x:c>
      <x:c r="AB132" s="299" t="str">
        <x:f>IFERROR(VLOOKUP(A132,'Adoption Methodology'!$K$5:$L$14,2,FALSE),IFERROR(VLOOKUP(B132,'Adoption Methodology'!$N$5:$O$16,2,FALSE),"https://www.gartner.com/en/information-technology/technology-adoption-roadmaps"))</x:f>
        <x:v>https://www.gartner.com/en/information-technology/technology-adoption-roadmaps</x:v>
      </x:c>
      <x:c r="AC132" s="299" t="str">
        <x:f>IF(R132="","Modelled adoption maturity; see Adoption Methodology.",R132&amp;"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33">
      <x:c r="A133" s="299" t="str">
        <x:v>IoT Platform</x:v>
      </x:c>
      <x:c r="B133" s="299" t="str">
        <x:v>Connectivity / Edge / IoT</x:v>
      </x:c>
      <x:c r="C133" s="300" t="str">
        <x:v>IT</x:v>
      </x:c>
      <x:c r="D133" s="300" t="str">
        <x:v>PE</x:v>
      </x:c>
      <x:c r="E133" s="300" t="str">
        <x:v>PE</x:v>
      </x:c>
      <x:c r="F133" s="300" t="str"/>
      <x:c r="G133" s="300" t="str"/>
      <x:c r="H133" s="300" t="str"/>
      <x:c r="I133" s="300" t="str"/>
      <x:c r="J133" s="300" t="str"/>
      <x:c r="K133" s="300" t="str"/>
      <x:c r="L133" s="300" t="str"/>
      <x:c r="M133" s="300" t="n">
        <x:f>COUNTIF(C133:L133,"IT")+COUNTIF(C133:L133,"PE")+COUNTIF(C133:L133,"TD")+COUNTIF(C133:L133,"SE")+COUNTIF(C133:L133,"PP")</x:f>
        <x:v>3</x:v>
      </x:c>
      <x:c r="N133" s="300" t="n">
        <x:f>IF(C133&lt;&gt;"",2016,IF(D133&lt;&gt;"",2017,IF(E133&lt;&gt;"",2018,IF(F133&lt;&gt;"",2019,IF(G133&lt;&gt;"",2020,IF(H133&lt;&gt;"",2021,IF(I133&lt;&gt;"",2022,IF(J133&lt;&gt;"",2023,IF(K133&lt;&gt;"",2024,IF(L133&lt;&gt;"",2025,""))))))))))</x:f>
        <x:v>2016</x:v>
      </x:c>
      <x:c r="O133" s="300" t="n">
        <x:f>IF(L133&lt;&gt;"",2025,IF(K133&lt;&gt;"",2024,IF(J133&lt;&gt;"",2023,IF(I133&lt;&gt;"",2022,IF(H133&lt;&gt;"",2021,IF(G133&lt;&gt;"",2020,IF(F133&lt;&gt;"",2019,IF(E133&lt;&gt;"",2018,IF(D133&lt;&gt;"",2017,IF(C133&lt;&gt;"",2016,""))))))))))</x:f>
        <x:v>2018</x:v>
      </x:c>
      <x:c r="P133" s="299" t="str">
        <x:v>Exited flagship; may continue on specialist Hype Cycles</x:v>
      </x:c>
      <x:c r="Q133" s="299" t="str">
        <x:v>Established / mainstream</x:v>
      </x:c>
      <x:c r="R133" s="299" t="str">
        <x:v>By 2026 this capability is commercially established or embedded in mainstream enterprise/consumer technology, even if the original Gartner label is no longer prominent.</x:v>
      </x:c>
      <x:c r="S133" s="299" t="str"/>
      <x:c r="T133" s="300" t="str">
        <x:f>IFERROR(INDEX($C133:$L133,1,MATCH($N133,$C$4:$L$4,0)),"")</x:f>
        <x:v>IT</x:v>
      </x:c>
      <x:c r="U133" s="300" t="n">
        <x:f>IFERROR(VLOOKUP(T133,'Adoption Methodology'!$F$18:$G$22,2,FALSE),"")</x:f>
        <x:v>1</x:v>
      </x:c>
      <x:c r="V133" s="299" t="str">
        <x:f>IFERROR(VLOOKUP(U133,'Adoption Methodology'!$A$5:$C$10,3,FALSE),"")</x:f>
        <x:v>≈1–5% of relevant market; prototypes, pilots or very early deployments</x:v>
      </x:c>
      <x:c r="W133" s="300" t="n">
        <x:f>IFERROR(VLOOKUP(Q133,'Adoption Methodology'!$F$5:$H$12,2,FALSE),"")</x:f>
        <x:v>5</x:v>
      </x:c>
      <x:c r="X133" s="299" t="str">
        <x:f>IFERROR(VLOOKUP(W133,'Adoption Methodology'!$A$5:$C$10,3,FALSE),"")</x:f>
        <x:v>&gt;60% in leading/addressable segments, or effectively a standard/default capability</x:v>
      </x:c>
      <x:c r="Y133" s="300" t="n">
        <x:f>IF(OR(U133="",W133=""),"",W133-U133)</x:f>
        <x:v>4</x:v>
      </x:c>
      <x:c r="Z133" s="299" t="str">
        <x:f>IF(Y133="","",IF(Y133&gt;0,"Adoption increased",IF(Y133=0,"Broadly unchanged","Adoption maturity lower")))</x:f>
        <x:v>Adoption increased</x:v>
      </x:c>
      <x:c r="AA133" s="300" t="str">
        <x:f>IFERROR(VLOOKUP(Q133,'Adoption Methodology'!$F$5:$H$12,3,FALSE),"Medium")</x:f>
        <x:v>High</x:v>
      </x:c>
      <x:c r="AB133" s="299" t="str">
        <x:f>IFERROR(VLOOKUP(A133,'Adoption Methodology'!$K$5:$L$14,2,FALSE),IFERROR(VLOOKUP(B133,'Adoption Methodology'!$N$5:$O$16,2,FALSE),"https://www.gartner.com/en/information-technology/technology-adoption-roadmaps"))</x:f>
        <x:v>https://www.gsma.com/about-us/regions/north-america/wp-content/uploads/2024/02/Mobile-Policy-Handbook-2024.pdf</x:v>
      </x:c>
      <x:c r="AC133" s="299" t="str">
        <x:f>IF(R133="","Modelled adoption maturity; see Adoption Methodology.",R133&amp;"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34">
      <x:c r="A134" s="299" t="str">
        <x:v>Knowledge Graphs</x:v>
      </x:c>
      <x:c r="B134" s="299" t="str">
        <x:v>Connectivity / Edge / IoT</x:v>
      </x:c>
      <x:c r="C134" s="300" t="str"/>
      <x:c r="D134" s="300" t="str"/>
      <x:c r="E134" s="300" t="str">
        <x:v>IT</x:v>
      </x:c>
      <x:c r="F134" s="300" t="str">
        <x:v>IT</x:v>
      </x:c>
      <x:c r="G134" s="300" t="str"/>
      <x:c r="H134" s="300" t="str"/>
      <x:c r="I134" s="300" t="str"/>
      <x:c r="J134" s="300" t="str"/>
      <x:c r="K134" s="300" t="str"/>
      <x:c r="L134" s="300" t="str"/>
      <x:c r="M134" s="300" t="n">
        <x:f>COUNTIF(C134:L134,"IT")+COUNTIF(C134:L134,"PE")+COUNTIF(C134:L134,"TD")+COUNTIF(C134:L134,"SE")+COUNTIF(C134:L134,"PP")</x:f>
        <x:v>2</x:v>
      </x:c>
      <x:c r="N134" s="300" t="n">
        <x:f>IF(C134&lt;&gt;"",2016,IF(D134&lt;&gt;"",2017,IF(E134&lt;&gt;"",2018,IF(F134&lt;&gt;"",2019,IF(G134&lt;&gt;"",2020,IF(H134&lt;&gt;"",2021,IF(I134&lt;&gt;"",2022,IF(J134&lt;&gt;"",2023,IF(K134&lt;&gt;"",2024,IF(L134&lt;&gt;"",2025,""))))))))))</x:f>
        <x:v>2018</x:v>
      </x:c>
      <x:c r="O134" s="300" t="n">
        <x:f>IF(L134&lt;&gt;"",2025,IF(K134&lt;&gt;"",2024,IF(J134&lt;&gt;"",2023,IF(I134&lt;&gt;"",2022,IF(H134&lt;&gt;"",2021,IF(G134&lt;&gt;"",2020,IF(F134&lt;&gt;"",2019,IF(E134&lt;&gt;"",2018,IF(D134&lt;&gt;"",2017,IF(C134&lt;&gt;"",2016,""))))))))))</x:f>
        <x:v>2019</x:v>
      </x:c>
      <x:c r="P134" s="299" t="str">
        <x:v>Exited flagship; may continue on specialist Hype Cycles</x:v>
      </x:c>
      <x:c r="Q134" s="299" t="str">
        <x:v>Established / mainstream</x:v>
      </x:c>
      <x:c r="R134" s="299" t="str">
        <x:v>By 2026 this capability is commercially established or embedded in mainstream enterprise/consumer technology, even if the original Gartner label is no longer prominent.</x:v>
      </x:c>
      <x:c r="S134" s="299" t="str"/>
      <x:c r="T134" s="300" t="str">
        <x:f>IFERROR(INDEX($C134:$L134,1,MATCH($N134,$C$4:$L$4,0)),"")</x:f>
        <x:v>IT</x:v>
      </x:c>
      <x:c r="U134" s="300" t="n">
        <x:f>IFERROR(VLOOKUP(T134,'Adoption Methodology'!$F$18:$G$22,2,FALSE),"")</x:f>
        <x:v>1</x:v>
      </x:c>
      <x:c r="V134" s="299" t="str">
        <x:f>IFERROR(VLOOKUP(U134,'Adoption Methodology'!$A$5:$C$10,3,FALSE),"")</x:f>
        <x:v>≈1–5% of relevant market; prototypes, pilots or very early deployments</x:v>
      </x:c>
      <x:c r="W134" s="300" t="n">
        <x:f>IFERROR(VLOOKUP(Q134,'Adoption Methodology'!$F$5:$H$12,2,FALSE),"")</x:f>
        <x:v>5</x:v>
      </x:c>
      <x:c r="X134" s="299" t="str">
        <x:f>IFERROR(VLOOKUP(W134,'Adoption Methodology'!$A$5:$C$10,3,FALSE),"")</x:f>
        <x:v>&gt;60% in leading/addressable segments, or effectively a standard/default capability</x:v>
      </x:c>
      <x:c r="Y134" s="300" t="n">
        <x:f>IF(OR(U134="",W134=""),"",W134-U134)</x:f>
        <x:v>4</x:v>
      </x:c>
      <x:c r="Z134" s="299" t="str">
        <x:f>IF(Y134="","",IF(Y134&gt;0,"Adoption increased",IF(Y134=0,"Broadly unchanged","Adoption maturity lower")))</x:f>
        <x:v>Adoption increased</x:v>
      </x:c>
      <x:c r="AA134" s="300" t="str">
        <x:f>IFERROR(VLOOKUP(Q134,'Adoption Methodology'!$F$5:$H$12,3,FALSE),"Medium")</x:f>
        <x:v>High</x:v>
      </x:c>
      <x:c r="AB134" s="299" t="str">
        <x:f>IFERROR(VLOOKUP(A134,'Adoption Methodology'!$K$5:$L$14,2,FALSE),IFERROR(VLOOKUP(B134,'Adoption Methodology'!$N$5:$O$16,2,FALSE),"https://www.gartner.com/en/information-technology/technology-adoption-roadmaps"))</x:f>
        <x:v>https://www.gsma.com/about-us/regions/europe/gsma_resources/the-mobile-economy-2026/</x:v>
      </x:c>
      <x:c r="AC134" s="299" t="str">
        <x:f>IF(R134="","Modelled adoption maturity; see Adoption Methodology.",R134&amp;"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35">
      <x:c r="A135" s="299" t="str">
        <x:v>Large Action Models</x:v>
      </x:c>
      <x:c r="B135" s="299" t="str">
        <x:v>Business / Emerging Technology</x:v>
      </x:c>
      <x:c r="C135" s="300" t="str"/>
      <x:c r="D135" s="300" t="str"/>
      <x:c r="E135" s="300" t="str"/>
      <x:c r="F135" s="300" t="str"/>
      <x:c r="G135" s="300" t="str"/>
      <x:c r="H135" s="300" t="str"/>
      <x:c r="I135" s="300" t="str"/>
      <x:c r="J135" s="300" t="str"/>
      <x:c r="K135" s="300" t="str">
        <x:v>IT</x:v>
      </x:c>
      <x:c r="L135" s="300" t="str"/>
      <x:c r="M135" s="300" t="n">
        <x:f>COUNTIF(C135:L135,"IT")+COUNTIF(C135:L135,"PE")+COUNTIF(C135:L135,"TD")+COUNTIF(C135:L135,"SE")+COUNTIF(C135:L135,"PP")</x:f>
        <x:v>1</x:v>
      </x:c>
      <x:c r="N135" s="300" t="n">
        <x:f>IF(C135&lt;&gt;"",2016,IF(D135&lt;&gt;"",2017,IF(E135&lt;&gt;"",2018,IF(F135&lt;&gt;"",2019,IF(G135&lt;&gt;"",2020,IF(H135&lt;&gt;"",2021,IF(I135&lt;&gt;"",2022,IF(J135&lt;&gt;"",2023,IF(K135&lt;&gt;"",2024,IF(L135&lt;&gt;"",2025,""))))))))))</x:f>
        <x:v>2024</x:v>
      </x:c>
      <x:c r="O135" s="300" t="n">
        <x:f>IF(L135&lt;&gt;"",2025,IF(K135&lt;&gt;"",2024,IF(J135&lt;&gt;"",2023,IF(I135&lt;&gt;"",2022,IF(H135&lt;&gt;"",2021,IF(G135&lt;&gt;"",2020,IF(F135&lt;&gt;"",2019,IF(E135&lt;&gt;"",2018,IF(D135&lt;&gt;"",2017,IF(C135&lt;&gt;"",2016,""))))))))))</x:f>
        <x:v>2024</x:v>
      </x:c>
      <x:c r="P135" s="299" t="str">
        <x:v>Exited flagship; may continue on specialist Hype Cycles</x:v>
      </x:c>
      <x:c r="Q135" s="299" t="str">
        <x:v>Still emerging / long-horizon</x:v>
      </x:c>
      <x:c r="R135" s="299" t="str">
        <x:v>By 2026 the technology remains emerging, research-heavy or constrained by economics, engineering, regulation or deployment scale.</x:v>
      </x:c>
      <x:c r="S135" s="299" t="str"/>
      <x:c r="T135" s="300" t="str">
        <x:f>IFERROR(INDEX($C135:$L135,1,MATCH($N135,$C$4:$L$4,0)),"")</x:f>
        <x:v>IT</x:v>
      </x:c>
      <x:c r="U135" s="300" t="n">
        <x:f>IFERROR(VLOOKUP(T135,'Adoption Methodology'!$F$18:$G$22,2,FALSE),"")</x:f>
        <x:v>1</x:v>
      </x:c>
      <x:c r="V135" s="299" t="str">
        <x:f>IFERROR(VLOOKUP(U135,'Adoption Methodology'!$A$5:$C$10,3,FALSE),"")</x:f>
        <x:v>≈1–5% of relevant market; prototypes, pilots or very early deployments</x:v>
      </x:c>
      <x:c r="W135" s="300" t="n">
        <x:f>IFERROR(VLOOKUP(Q135,'Adoption Methodology'!$F$5:$H$12,2,FALSE),"")</x:f>
        <x:v>1</x:v>
      </x:c>
      <x:c r="X135" s="299" t="str">
        <x:f>IFERROR(VLOOKUP(W135,'Adoption Methodology'!$A$5:$C$10,3,FALSE),"")</x:f>
        <x:v>≈1–5% of relevant market; prototypes, pilots or very early deployments</x:v>
      </x:c>
      <x:c r="Y135" s="300" t="n">
        <x:f>IF(OR(U135="",W135=""),"",W135-U135)</x:f>
        <x:v>0</x:v>
      </x:c>
      <x:c r="Z135" s="299" t="str">
        <x:f>IF(Y135="","",IF(Y135&gt;0,"Adoption increased",IF(Y135=0,"Broadly unchanged","Adoption maturity lower")))</x:f>
      </x:c>
      <x:c r="AA135" s="300" t="str">
        <x:f>IFERROR(VLOOKUP(Q135,'Adoption Methodology'!$F$5:$H$12,3,FALSE),"Medium")</x:f>
        <x:v>Medium</x:v>
      </x:c>
      <x:c r="AB135" s="299" t="str">
        <x:f>IFERROR(VLOOKUP(A135,'Adoption Methodology'!$K$5:$L$14,2,FALSE),IFERROR(VLOOKUP(B135,'Adoption Methodology'!$N$5:$O$16,2,FALSE),"https://www.gartner.com/en/information-technology/technology-adoption-roadmaps"))</x:f>
        <x:v>https://www.gartner.com/en/information-technology/technology-adoption-roadmaps</x:v>
      </x:c>
      <x:c r="AC135" s="299" t="str">
        <x:f>IF(R135="","Modelled adoption maturity; see Adoption Methodology.",R135&amp;"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36">
      <x:c r="A136" s="299" t="str">
        <x:v>Light Cargo Delivery Drones</x:v>
      </x:c>
      <x:c r="B136" s="299" t="str">
        <x:v>Autonomy / Robotics</x:v>
      </x:c>
      <x:c r="C136" s="300" t="str"/>
      <x:c r="D136" s="300" t="str"/>
      <x:c r="E136" s="300" t="str"/>
      <x:c r="F136" s="300" t="str">
        <x:v>IT</x:v>
      </x:c>
      <x:c r="G136" s="300" t="str"/>
      <x:c r="H136" s="300" t="str"/>
      <x:c r="I136" s="300" t="str"/>
      <x:c r="J136" s="300" t="str"/>
      <x:c r="K136" s="300" t="str"/>
      <x:c r="L136" s="300" t="str"/>
      <x:c r="M136" s="300" t="n">
        <x:f>COUNTIF(C136:L136,"IT")+COUNTIF(C136:L136,"PE")+COUNTIF(C136:L136,"TD")+COUNTIF(C136:L136,"SE")+COUNTIF(C136:L136,"PP")</x:f>
        <x:v>1</x:v>
      </x:c>
      <x:c r="N136" s="300" t="n">
        <x:f>IF(C136&lt;&gt;"",2016,IF(D136&lt;&gt;"",2017,IF(E136&lt;&gt;"",2018,IF(F136&lt;&gt;"",2019,IF(G136&lt;&gt;"",2020,IF(H136&lt;&gt;"",2021,IF(I136&lt;&gt;"",2022,IF(J136&lt;&gt;"",2023,IF(K136&lt;&gt;"",2024,IF(L136&lt;&gt;"",2025,""))))))))))</x:f>
        <x:v>2019</x:v>
      </x:c>
      <x:c r="O136" s="300" t="n">
        <x:f>IF(L136&lt;&gt;"",2025,IF(K136&lt;&gt;"",2024,IF(J136&lt;&gt;"",2023,IF(I136&lt;&gt;"",2022,IF(H136&lt;&gt;"",2021,IF(G136&lt;&gt;"",2020,IF(F136&lt;&gt;"",2019,IF(E136&lt;&gt;"",2018,IF(D136&lt;&gt;"",2017,IF(C136&lt;&gt;"",2016,""))))))))))</x:f>
        <x:v>2019</x:v>
      </x:c>
      <x:c r="P136" s="299" t="str">
        <x:v>Exited flagship; may continue on specialist Hype Cycles</x:v>
      </x:c>
      <x:c r="Q136" s="299" t="str">
        <x:v>Exited flagship / specialist</x:v>
      </x:c>
      <x:c r="R136" s="299" t="str">
        <x:v>The label left the flagship cycle and is now best viewed as specialist, absorbed into adjacent categories, or lower-profile rather than a simple success/failure.</x:v>
      </x:c>
      <x:c r="S136" s="299" t="str"/>
      <x:c r="T136" s="300" t="str">
        <x:f>IFERROR(INDEX($C136:$L136,1,MATCH($N136,$C$4:$L$4,0)),"")</x:f>
        <x:v>IT</x:v>
      </x:c>
      <x:c r="U136" s="300" t="n">
        <x:f>IFERROR(VLOOKUP(T136,'Adoption Methodology'!$F$18:$G$22,2,FALSE),"")</x:f>
        <x:v>1</x:v>
      </x:c>
      <x:c r="V136" s="299" t="str">
        <x:f>IFERROR(VLOOKUP(U136,'Adoption Methodology'!$A$5:$C$10,3,FALSE),"")</x:f>
        <x:v>≈1–5% of relevant market; prototypes, pilots or very early deployments</x:v>
      </x:c>
      <x:c r="W136" s="300" t="n">
        <x:f>IFERROR(VLOOKUP(Q136,'Adoption Methodology'!$F$5:$H$12,2,FALSE),"")</x:f>
        <x:v>3</x:v>
      </x:c>
      <x:c r="X136" s="299" t="str">
        <x:f>IFERROR(VLOOKUP(W136,'Adoption Methodology'!$A$5:$C$10,3,FALSE),"")</x:f>
        <x:v>≈15–35% of relevant market, or capability absorbed into successor platforms</x:v>
      </x:c>
      <x:c r="Y136" s="300" t="n">
        <x:f>IF(OR(U136="",W136=""),"",W136-U136)</x:f>
        <x:v>2</x:v>
      </x:c>
      <x:c r="Z136" s="299" t="str">
        <x:f>IF(Y136="","",IF(Y136&gt;0,"Adoption increased",IF(Y136=0,"Broadly unchanged","Adoption maturity lower")))</x:f>
        <x:v>Adoption increased</x:v>
      </x:c>
      <x:c r="AA136" s="300" t="str">
        <x:f>IFERROR(VLOOKUP(Q136,'Adoption Methodology'!$F$5:$H$12,3,FALSE),"Medium")</x:f>
        <x:v>Medium</x:v>
      </x:c>
      <x:c r="AB136" s="299" t="str">
        <x:f>IFERROR(VLOOKUP(A136,'Adoption Methodology'!$K$5:$L$14,2,FALSE),IFERROR(VLOOKUP(B136,'Adoption Methodology'!$N$5:$O$16,2,FALSE),"https://www.gartner.com/en/information-technology/technology-adoption-roadmaps"))</x:f>
        <x:v>https://ifr.org/worldrobotics/report-2025</x:v>
      </x:c>
      <x:c r="AC136" s="299" t="str">
        <x:f>IF(R136="","Modelled adoption maturity; see Adoption Methodology.",R136&amp;"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37">
      <x:c r="A137" s="299" t="str">
        <x:v>Low Earth Orbit Satellite Systems</x:v>
      </x:c>
      <x:c r="B137" s="299" t="str">
        <x:v>Business / Emerging Technology</x:v>
      </x:c>
      <x:c r="C137" s="300" t="str"/>
      <x:c r="D137" s="300" t="str"/>
      <x:c r="E137" s="300" t="str"/>
      <x:c r="F137" s="300" t="str">
        <x:v>PE</x:v>
      </x:c>
      <x:c r="G137" s="300" t="str"/>
      <x:c r="H137" s="300" t="str"/>
      <x:c r="I137" s="300" t="str"/>
      <x:c r="J137" s="300" t="str"/>
      <x:c r="K137" s="300" t="str"/>
      <x:c r="L137" s="300" t="str"/>
      <x:c r="M137" s="300" t="n">
        <x:f>COUNTIF(C137:L137,"IT")+COUNTIF(C137:L137,"PE")+COUNTIF(C137:L137,"TD")+COUNTIF(C137:L137,"SE")+COUNTIF(C137:L137,"PP")</x:f>
        <x:v>1</x:v>
      </x:c>
      <x:c r="N137" s="300" t="n">
        <x:f>IF(C137&lt;&gt;"",2016,IF(D137&lt;&gt;"",2017,IF(E137&lt;&gt;"",2018,IF(F137&lt;&gt;"",2019,IF(G137&lt;&gt;"",2020,IF(H137&lt;&gt;"",2021,IF(I137&lt;&gt;"",2022,IF(J137&lt;&gt;"",2023,IF(K137&lt;&gt;"",2024,IF(L137&lt;&gt;"",2025,""))))))))))</x:f>
        <x:v>2019</x:v>
      </x:c>
      <x:c r="O137" s="300" t="n">
        <x:f>IF(L137&lt;&gt;"",2025,IF(K137&lt;&gt;"",2024,IF(J137&lt;&gt;"",2023,IF(I137&lt;&gt;"",2022,IF(H137&lt;&gt;"",2021,IF(G137&lt;&gt;"",2020,IF(F137&lt;&gt;"",2019,IF(E137&lt;&gt;"",2018,IF(D137&lt;&gt;"",2017,IF(C137&lt;&gt;"",2016,""))))))))))</x:f>
        <x:v>2019</x:v>
      </x:c>
      <x:c r="P137" s="299" t="str">
        <x:v>Exited flagship; may continue on specialist Hype Cycles</x:v>
      </x:c>
      <x:c r="Q137" s="299" t="str">
        <x:v>Established / specialist</x:v>
      </x:c>
      <x:c r="R137" s="299" t="str">
        <x:v>By 2026 there are credible production uses and vendors, but adoption is concentrated in particular workloads, industries or architectures rather than universal.</x:v>
      </x:c>
      <x:c r="S137" s="299" t="str"/>
      <x:c r="T137" s="300" t="str">
        <x:f>IFERROR(INDEX($C137:$L137,1,MATCH($N137,$C$4:$L$4,0)),"")</x:f>
        <x:v>PE</x:v>
      </x:c>
      <x:c r="U137" s="300" t="n">
        <x:f>IFERROR(VLOOKUP(T137,'Adoption Methodology'!$F$18:$G$22,2,FALSE),"")</x:f>
        <x:v>2</x:v>
      </x:c>
      <x:c r="V137" s="299" t="str">
        <x:f>IFERROR(VLOOKUP(U137,'Adoption Methodology'!$A$5:$C$10,3,FALSE),"")</x:f>
        <x:v>≈5–15% of relevant market; credible deployments but limited scale</x:v>
      </x:c>
      <x:c r="W137" s="300" t="n">
        <x:f>IFERROR(VLOOKUP(Q137,'Adoption Methodology'!$F$5:$H$12,2,FALSE),"")</x:f>
        <x:v>4</x:v>
      </x:c>
      <x:c r="X137" s="299" t="str">
        <x:f>IFERROR(VLOOKUP(W137,'Adoption Methodology'!$A$5:$C$10,3,FALSE),"")</x:f>
        <x:v>≈35–60% within the addressable segment; mature specialist use</x:v>
      </x:c>
      <x:c r="Y137" s="300" t="n">
        <x:f>IF(OR(U137="",W137=""),"",W137-U137)</x:f>
        <x:v>2</x:v>
      </x:c>
      <x:c r="Z137" s="299" t="str">
        <x:f>IF(Y137="","",IF(Y137&gt;0,"Adoption increased",IF(Y137=0,"Broadly unchanged","Adoption maturity lower")))</x:f>
        <x:v>Adoption increased</x:v>
      </x:c>
      <x:c r="AA137" s="300" t="str">
        <x:f>IFERROR(VLOOKUP(Q137,'Adoption Methodology'!$F$5:$H$12,3,FALSE),"Medium")</x:f>
        <x:v>High</x:v>
      </x:c>
      <x:c r="AB137" s="299" t="str">
        <x:f>IFERROR(VLOOKUP(A137,'Adoption Methodology'!$K$5:$L$14,2,FALSE),IFERROR(VLOOKUP(B137,'Adoption Methodology'!$N$5:$O$16,2,FALSE),"https://www.gartner.com/en/information-technology/technology-adoption-roadmaps"))</x:f>
        <x:v>https://www.gartner.com/en/information-technology/technology-adoption-roadmaps</x:v>
      </x:c>
      <x:c r="AC137" s="299" t="str">
        <x:f>IF(R137="","Modelled adoption maturity; see Adoption Methodology.",R137&amp;"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38">
      <x:c r="A138" s="299" t="str">
        <x:v>Low-Cost Single-Board Computers at the Edge</x:v>
      </x:c>
      <x:c r="B138" s="299" t="str">
        <x:v>Connectivity / Edge / IoT</x:v>
      </x:c>
      <x:c r="C138" s="300" t="str"/>
      <x:c r="D138" s="300" t="str"/>
      <x:c r="E138" s="300" t="str"/>
      <x:c r="F138" s="300" t="str"/>
      <x:c r="G138" s="300" t="str">
        <x:v>IT</x:v>
      </x:c>
      <x:c r="H138" s="300" t="str"/>
      <x:c r="I138" s="300" t="str"/>
      <x:c r="J138" s="300" t="str"/>
      <x:c r="K138" s="300" t="str"/>
      <x:c r="L138" s="300" t="str"/>
      <x:c r="M138" s="300" t="n">
        <x:f>COUNTIF(C138:L138,"IT")+COUNTIF(C138:L138,"PE")+COUNTIF(C138:L138,"TD")+COUNTIF(C138:L138,"SE")+COUNTIF(C138:L138,"PP")</x:f>
        <x:v>1</x:v>
      </x:c>
      <x:c r="N138" s="300" t="n">
        <x:f>IF(C138&lt;&gt;"",2016,IF(D138&lt;&gt;"",2017,IF(E138&lt;&gt;"",2018,IF(F138&lt;&gt;"",2019,IF(G138&lt;&gt;"",2020,IF(H138&lt;&gt;"",2021,IF(I138&lt;&gt;"",2022,IF(J138&lt;&gt;"",2023,IF(K138&lt;&gt;"",2024,IF(L138&lt;&gt;"",2025,""))))))))))</x:f>
        <x:v>2020</x:v>
      </x:c>
      <x:c r="O138" s="300" t="n">
        <x:f>IF(L138&lt;&gt;"",2025,IF(K138&lt;&gt;"",2024,IF(J138&lt;&gt;"",2023,IF(I138&lt;&gt;"",2022,IF(H138&lt;&gt;"",2021,IF(G138&lt;&gt;"",2020,IF(F138&lt;&gt;"",2019,IF(E138&lt;&gt;"",2018,IF(D138&lt;&gt;"",2017,IF(C138&lt;&gt;"",2016,""))))))))))</x:f>
        <x:v>2020</x:v>
      </x:c>
      <x:c r="P138" s="299" t="str">
        <x:v>Exited flagship; may continue on specialist Hype Cycles</x:v>
      </x:c>
      <x:c r="Q138" s="299" t="str">
        <x:v>Exited flagship / specialist</x:v>
      </x:c>
      <x:c r="R138" s="299" t="str">
        <x:v>The label left the flagship cycle and is now best viewed as specialist, absorbed into adjacent categories, or lower-profile rather than a simple success/failure.</x:v>
      </x:c>
      <x:c r="S138" s="299" t="str"/>
      <x:c r="T138" s="300" t="str">
        <x:f>IFERROR(INDEX($C138:$L138,1,MATCH($N138,$C$4:$L$4,0)),"")</x:f>
        <x:v>IT</x:v>
      </x:c>
      <x:c r="U138" s="300" t="n">
        <x:f>IFERROR(VLOOKUP(T138,'Adoption Methodology'!$F$18:$G$22,2,FALSE),"")</x:f>
        <x:v>1</x:v>
      </x:c>
      <x:c r="V138" s="299" t="str">
        <x:f>IFERROR(VLOOKUP(U138,'Adoption Methodology'!$A$5:$C$10,3,FALSE),"")</x:f>
        <x:v>≈1–5% of relevant market; prototypes, pilots or very early deployments</x:v>
      </x:c>
      <x:c r="W138" s="300" t="n">
        <x:f>IFERROR(VLOOKUP(Q138,'Adoption Methodology'!$F$5:$H$12,2,FALSE),"")</x:f>
        <x:v>3</x:v>
      </x:c>
      <x:c r="X138" s="299" t="str">
        <x:f>IFERROR(VLOOKUP(W138,'Adoption Methodology'!$A$5:$C$10,3,FALSE),"")</x:f>
        <x:v>≈15–35% of relevant market, or capability absorbed into successor platforms</x:v>
      </x:c>
      <x:c r="Y138" s="300" t="n">
        <x:f>IF(OR(U138="",W138=""),"",W138-U138)</x:f>
        <x:v>2</x:v>
      </x:c>
      <x:c r="Z138" s="299" t="str">
        <x:f>IF(Y138="","",IF(Y138&gt;0,"Adoption increased",IF(Y138=0,"Broadly unchanged","Adoption maturity lower")))</x:f>
        <x:v>Adoption increased</x:v>
      </x:c>
      <x:c r="AA138" s="300" t="str">
        <x:f>IFERROR(VLOOKUP(Q138,'Adoption Methodology'!$F$5:$H$12,3,FALSE),"Medium")</x:f>
        <x:v>Medium</x:v>
      </x:c>
      <x:c r="AB138" s="299" t="str">
        <x:f>IFERROR(VLOOKUP(A138,'Adoption Methodology'!$K$5:$L$14,2,FALSE),IFERROR(VLOOKUP(B138,'Adoption Methodology'!$N$5:$O$16,2,FALSE),"https://www.gartner.com/en/information-technology/technology-adoption-roadmaps"))</x:f>
        <x:v>https://www.gsma.com/about-us/regions/europe/gsma_resources/the-mobile-economy-2026/</x:v>
      </x:c>
      <x:c r="AC138" s="299" t="str">
        <x:f>IF(R138="","Modelled adoption maturity; see Adoption Methodology.",R138&amp;"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39">
      <x:c r="A139" s="299" t="str">
        <x:v>Machine Customers</x:v>
      </x:c>
      <x:c r="B139" s="299" t="str">
        <x:v>Business / Emerging Technology</x:v>
      </x:c>
      <x:c r="C139" s="300" t="str"/>
      <x:c r="D139" s="300" t="str"/>
      <x:c r="E139" s="300" t="str"/>
      <x:c r="F139" s="300" t="str"/>
      <x:c r="G139" s="300" t="str"/>
      <x:c r="H139" s="300" t="str"/>
      <x:c r="I139" s="300" t="str"/>
      <x:c r="J139" s="300" t="str"/>
      <x:c r="K139" s="300" t="str">
        <x:v>PE</x:v>
      </x:c>
      <x:c r="L139" s="300" t="str">
        <x:v>PE</x:v>
      </x:c>
      <x:c r="M139" s="300" t="n">
        <x:f>COUNTIF(C139:L139,"IT")+COUNTIF(C139:L139,"PE")+COUNTIF(C139:L139,"TD")+COUNTIF(C139:L139,"SE")+COUNTIF(C139:L139,"PP")</x:f>
        <x:v>2</x:v>
      </x:c>
      <x:c r="N139" s="300" t="n">
        <x:f>IF(C139&lt;&gt;"",2016,IF(D139&lt;&gt;"",2017,IF(E139&lt;&gt;"",2018,IF(F139&lt;&gt;"",2019,IF(G139&lt;&gt;"",2020,IF(H139&lt;&gt;"",2021,IF(I139&lt;&gt;"",2022,IF(J139&lt;&gt;"",2023,IF(K139&lt;&gt;"",2024,IF(L139&lt;&gt;"",2025,""))))))))))</x:f>
        <x:v>2024</x:v>
      </x:c>
      <x:c r="O139" s="300" t="n">
        <x:f>IF(L139&lt;&gt;"",2025,IF(K139&lt;&gt;"",2024,IF(J139&lt;&gt;"",2023,IF(I139&lt;&gt;"",2022,IF(H139&lt;&gt;"",2021,IF(G139&lt;&gt;"",2020,IF(F139&lt;&gt;"",2019,IF(E139&lt;&gt;"",2018,IF(D139&lt;&gt;"",2017,IF(C139&lt;&gt;"",2016,""))))))))))</x:f>
        <x:v>2025</x:v>
      </x:c>
      <x:c r="P139" s="299" t="str">
        <x:v>Still on the 2025 flagship</x:v>
      </x:c>
      <x:c r="Q139" s="299" t="str">
        <x:v>Still emerging / evolving</x:v>
      </x:c>
      <x:c r="R139" s="299" t="str">
        <x:v>By 2026 the category is still evolving quickly; commercial adoption exists or is beginning, but maturity and durable ROI vary significantly.</x:v>
      </x:c>
      <x:c r="S139" s="299" t="str">
        <x:v>Continued into 2026 public reporting near the peak.</x:v>
      </x:c>
      <x:c r="T139" s="300" t="str">
        <x:f>IFERROR(INDEX($C139:$L139,1,MATCH($N139,$C$4:$L$4,0)),"")</x:f>
        <x:v>PE</x:v>
      </x:c>
      <x:c r="U139" s="300" t="n">
        <x:f>IFERROR(VLOOKUP(T139,'Adoption Methodology'!$F$18:$G$22,2,FALSE),"")</x:f>
        <x:v>2</x:v>
      </x:c>
      <x:c r="V139" s="299" t="str">
        <x:f>IFERROR(VLOOKUP(U139,'Adoption Methodology'!$A$5:$C$10,3,FALSE),"")</x:f>
        <x:v>≈5–15% of relevant market; credible deployments but limited scale</x:v>
      </x:c>
      <x:c r="W139" s="300" t="n">
        <x:f>IFERROR(VLOOKUP(Q139,'Adoption Methodology'!$F$5:$H$12,2,FALSE),"")</x:f>
        <x:v>2</x:v>
      </x:c>
      <x:c r="X139" s="299" t="str">
        <x:f>IFERROR(VLOOKUP(W139,'Adoption Methodology'!$A$5:$C$10,3,FALSE),"")</x:f>
        <x:v>≈5–15% of relevant market; credible deployments but limited scale</x:v>
      </x:c>
      <x:c r="Y139" s="300" t="n">
        <x:f>IF(OR(U139="",W139=""),"",W139-U139)</x:f>
        <x:v>0</x:v>
      </x:c>
      <x:c r="Z139" s="299" t="str">
        <x:f>IF(Y139="","",IF(Y139&gt;0,"Adoption increased",IF(Y139=0,"Broadly unchanged","Adoption maturity lower")))</x:f>
      </x:c>
      <x:c r="AA139" s="300" t="str">
        <x:f>IFERROR(VLOOKUP(Q139,'Adoption Methodology'!$F$5:$H$12,3,FALSE),"Medium")</x:f>
        <x:v>Medium</x:v>
      </x:c>
      <x:c r="AB139" s="299" t="str">
        <x:f>IFERROR(VLOOKUP(A139,'Adoption Methodology'!$K$5:$L$14,2,FALSE),IFERROR(VLOOKUP(B139,'Adoption Methodology'!$N$5:$O$16,2,FALSE),"https://www.gartner.com/en/information-technology/technology-adoption-roadmaps"))</x:f>
        <x:v>https://www.gartner.com/en/information-technology/technology-adoption-roadmaps</x:v>
      </x:c>
      <x:c r="AC139" s="299" t="str">
        <x:f>IF(R139="","Modelled adoption maturity; see Adoption Methodology.",R139&amp;"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40">
      <x:c r="A140" s="299" t="str">
        <x:v>Machine Learning</x:v>
      </x:c>
      <x:c r="B140" s="299" t="str">
        <x:v>AI / Data / Analytics</x:v>
      </x:c>
      <x:c r="C140" s="300" t="str">
        <x:v>PE</x:v>
      </x:c>
      <x:c r="D140" s="300" t="str">
        <x:v>PE</x:v>
      </x:c>
      <x:c r="E140" s="300" t="str"/>
      <x:c r="F140" s="300" t="str"/>
      <x:c r="G140" s="300" t="str"/>
      <x:c r="H140" s="300" t="str"/>
      <x:c r="I140" s="300" t="str"/>
      <x:c r="J140" s="300" t="str"/>
      <x:c r="K140" s="300" t="str"/>
      <x:c r="L140" s="300" t="str"/>
      <x:c r="M140" s="300" t="n">
        <x:f>COUNTIF(C140:L140,"IT")+COUNTIF(C140:L140,"PE")+COUNTIF(C140:L140,"TD")+COUNTIF(C140:L140,"SE")+COUNTIF(C140:L140,"PP")</x:f>
        <x:v>2</x:v>
      </x:c>
      <x:c r="N140" s="300" t="n">
        <x:f>IF(C140&lt;&gt;"",2016,IF(D140&lt;&gt;"",2017,IF(E140&lt;&gt;"",2018,IF(F140&lt;&gt;"",2019,IF(G140&lt;&gt;"",2020,IF(H140&lt;&gt;"",2021,IF(I140&lt;&gt;"",2022,IF(J140&lt;&gt;"",2023,IF(K140&lt;&gt;"",2024,IF(L140&lt;&gt;"",2025,""))))))))))</x:f>
        <x:v>2016</x:v>
      </x:c>
      <x:c r="O140" s="300" t="n">
        <x:f>IF(L140&lt;&gt;"",2025,IF(K140&lt;&gt;"",2024,IF(J140&lt;&gt;"",2023,IF(I140&lt;&gt;"",2022,IF(H140&lt;&gt;"",2021,IF(G140&lt;&gt;"",2020,IF(F140&lt;&gt;"",2019,IF(E140&lt;&gt;"",2018,IF(D140&lt;&gt;"",2017,IF(C140&lt;&gt;"",2016,""))))))))))</x:f>
        <x:v>2017</x:v>
      </x:c>
      <x:c r="P140" s="299" t="str">
        <x:v>Exited flagship; may continue on specialist Hype Cycles</x:v>
      </x:c>
      <x:c r="Q140" s="299" t="str">
        <x:v>Established / mainstream</x:v>
      </x:c>
      <x:c r="R140" s="299" t="str">
        <x:v>By 2026 this capability is commercially established or embedded in mainstream enterprise/consumer technology, even if the original Gartner label is no longer prominent.</x:v>
      </x:c>
      <x:c r="S140" s="299" t="str"/>
      <x:c r="T140" s="300" t="str">
        <x:f>IFERROR(INDEX($C140:$L140,1,MATCH($N140,$C$4:$L$4,0)),"")</x:f>
        <x:v>PE</x:v>
      </x:c>
      <x:c r="U140" s="300" t="n">
        <x:f>IFERROR(VLOOKUP(T140,'Adoption Methodology'!$F$18:$G$22,2,FALSE),"")</x:f>
        <x:v>2</x:v>
      </x:c>
      <x:c r="V140" s="299" t="str">
        <x:f>IFERROR(VLOOKUP(U140,'Adoption Methodology'!$A$5:$C$10,3,FALSE),"")</x:f>
        <x:v>≈5–15% of relevant market; credible deployments but limited scale</x:v>
      </x:c>
      <x:c r="W140" s="300" t="n">
        <x:f>IFERROR(VLOOKUP(Q140,'Adoption Methodology'!$F$5:$H$12,2,FALSE),"")</x:f>
        <x:v>5</x:v>
      </x:c>
      <x:c r="X140" s="299" t="str">
        <x:f>IFERROR(VLOOKUP(W140,'Adoption Methodology'!$A$5:$C$10,3,FALSE),"")</x:f>
        <x:v>&gt;60% in leading/addressable segments, or effectively a standard/default capability</x:v>
      </x:c>
      <x:c r="Y140" s="300" t="n">
        <x:f>IF(OR(U140="",W140=""),"",W140-U140)</x:f>
        <x:v>3</x:v>
      </x:c>
      <x:c r="Z140" s="299" t="str">
        <x:f>IF(Y140="","",IF(Y140&gt;0,"Adoption increased",IF(Y140=0,"Broadly unchanged","Adoption maturity lower")))</x:f>
        <x:v>Adoption increased</x:v>
      </x:c>
      <x:c r="AA140" s="300" t="str">
        <x:f>IFERROR(VLOOKUP(Q140,'Adoption Methodology'!$F$5:$H$12,3,FALSE),"Medium")</x:f>
        <x:v>High</x:v>
      </x:c>
      <x:c r="AB140" s="299" t="str">
        <x:f>IFERROR(VLOOKUP(A140,'Adoption Methodology'!$K$5:$L$14,2,FALSE),IFERROR(VLOOKUP(B140,'Adoption Methodology'!$N$5:$O$16,2,FALSE),"https://www.gartner.com/en/information-technology/technology-adoption-roadmaps"))</x:f>
        <x:v>https://www.mckinsey.com/capabilities/quantumblack/our-insights/the-state-of-ai</x:v>
      </x:c>
      <x:c r="AC140" s="299" t="str">
        <x:f>IF(R140="","Modelled adoption maturity; see Adoption Methodology.",R140&amp;"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41">
      <x:c r="A141" s="299" t="str">
        <x:v>Machine Learning Code Generation</x:v>
      </x:c>
      <x:c r="B141" s="299" t="str">
        <x:v>AI / Data / Analytics</x:v>
      </x:c>
      <x:c r="C141" s="300" t="str"/>
      <x:c r="D141" s="300" t="str"/>
      <x:c r="E141" s="300" t="str"/>
      <x:c r="F141" s="300" t="str"/>
      <x:c r="G141" s="300" t="str"/>
      <x:c r="H141" s="300" t="str"/>
      <x:c r="I141" s="300" t="str">
        <x:v>IT</x:v>
      </x:c>
      <x:c r="J141" s="300" t="str"/>
      <x:c r="K141" s="300" t="str"/>
      <x:c r="L141" s="300" t="str"/>
      <x:c r="M141" s="300" t="n">
        <x:f>COUNTIF(C141:L141,"IT")+COUNTIF(C141:L141,"PE")+COUNTIF(C141:L141,"TD")+COUNTIF(C141:L141,"SE")+COUNTIF(C141:L141,"PP")</x:f>
        <x:v>1</x:v>
      </x:c>
      <x:c r="N141" s="300" t="n">
        <x:f>IF(C141&lt;&gt;"",2016,IF(D141&lt;&gt;"",2017,IF(E141&lt;&gt;"",2018,IF(F141&lt;&gt;"",2019,IF(G141&lt;&gt;"",2020,IF(H141&lt;&gt;"",2021,IF(I141&lt;&gt;"",2022,IF(J141&lt;&gt;"",2023,IF(K141&lt;&gt;"",2024,IF(L141&lt;&gt;"",2025,""))))))))))</x:f>
        <x:v>2022</x:v>
      </x:c>
      <x:c r="O141" s="300" t="n">
        <x:f>IF(L141&lt;&gt;"",2025,IF(K141&lt;&gt;"",2024,IF(J141&lt;&gt;"",2023,IF(I141&lt;&gt;"",2022,IF(H141&lt;&gt;"",2021,IF(G141&lt;&gt;"",2020,IF(F141&lt;&gt;"",2019,IF(E141&lt;&gt;"",2018,IF(D141&lt;&gt;"",2017,IF(C141&lt;&gt;"",2016,""))))))))))</x:f>
        <x:v>2022</x:v>
      </x:c>
      <x:c r="P141" s="299" t="str">
        <x:v>Exited flagship; may continue on specialist Hype Cycles</x:v>
      </x:c>
      <x:c r="Q141" s="299" t="str">
        <x:v>Exited flagship / evolving</x:v>
      </x:c>
      <x:c r="R141" s="299" t="str">
        <x:v>The label left the flagship cycle; Gartner’s flagship is deliberately dynamic, so exit should not be read as failure without checking specialist Hype Cycles.</x:v>
      </x:c>
      <x:c r="S141" s="299" t="str"/>
      <x:c r="T141" s="300" t="str">
        <x:f>IFERROR(INDEX($C141:$L141,1,MATCH($N141,$C$4:$L$4,0)),"")</x:f>
        <x:v>IT</x:v>
      </x:c>
      <x:c r="U141" s="300" t="n">
        <x:f>IFERROR(VLOOKUP(T141,'Adoption Methodology'!$F$18:$G$22,2,FALSE),"")</x:f>
        <x:v>1</x:v>
      </x:c>
      <x:c r="V141" s="299" t="str">
        <x:f>IFERROR(VLOOKUP(U141,'Adoption Methodology'!$A$5:$C$10,3,FALSE),"")</x:f>
        <x:v>≈1–5% of relevant market; prototypes, pilots or very early deployments</x:v>
      </x:c>
      <x:c r="W141" s="300" t="n">
        <x:f>IFERROR(VLOOKUP(Q141,'Adoption Methodology'!$F$5:$H$12,2,FALSE),"")</x:f>
        <x:v>2</x:v>
      </x:c>
      <x:c r="X141" s="299" t="str">
        <x:f>IFERROR(VLOOKUP(W141,'Adoption Methodology'!$A$5:$C$10,3,FALSE),"")</x:f>
        <x:v>≈5–15% of relevant market; credible deployments but limited scale</x:v>
      </x:c>
      <x:c r="Y141" s="300" t="n">
        <x:f>IF(OR(U141="",W141=""),"",W141-U141)</x:f>
        <x:v>1</x:v>
      </x:c>
      <x:c r="Z141" s="299" t="str">
        <x:f>IF(Y141="","",IF(Y141&gt;0,"Adoption increased",IF(Y141=0,"Broadly unchanged","Adoption maturity lower")))</x:f>
        <x:v>Adoption increased</x:v>
      </x:c>
      <x:c r="AA141" s="300" t="str">
        <x:f>IFERROR(VLOOKUP(Q141,'Adoption Methodology'!$F$5:$H$12,3,FALSE),"Medium")</x:f>
        <x:v>Medium-Low</x:v>
      </x:c>
      <x:c r="AB141" s="299" t="str">
        <x:f>IFERROR(VLOOKUP(A141,'Adoption Methodology'!$K$5:$L$14,2,FALSE),IFERROR(VLOOKUP(B141,'Adoption Methodology'!$N$5:$O$16,2,FALSE),"https://www.gartner.com/en/information-technology/technology-adoption-roadmaps"))</x:f>
        <x:v>https://www.mckinsey.com/capabilities/quantumblack/our-insights/the-state-of-ai</x:v>
      </x:c>
      <x:c r="AC141" s="299" t="str">
        <x:f>IF(R141="","Modelled adoption maturity; see Adoption Methodology.",R141&amp;"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42">
      <x:c r="A142" s="299" t="str">
        <x:v>Machine Sellers</x:v>
      </x:c>
      <x:c r="B142" s="299" t="str">
        <x:v>Business / Emerging Technology</x:v>
      </x:c>
      <x:c r="C142" s="300" t="str"/>
      <x:c r="D142" s="300" t="str"/>
      <x:c r="E142" s="300" t="str"/>
      <x:c r="F142" s="300" t="str"/>
      <x:c r="G142" s="300" t="str"/>
      <x:c r="H142" s="300" t="str"/>
      <x:c r="I142" s="300" t="str"/>
      <x:c r="J142" s="300" t="str"/>
      <x:c r="K142" s="300" t="str"/>
      <x:c r="L142" s="300" t="str">
        <x:v>IT</x:v>
      </x:c>
      <x:c r="M142" s="300" t="n">
        <x:f>COUNTIF(C142:L142,"IT")+COUNTIF(C142:L142,"PE")+COUNTIF(C142:L142,"TD")+COUNTIF(C142:L142,"SE")+COUNTIF(C142:L142,"PP")</x:f>
        <x:v>1</x:v>
      </x:c>
      <x:c r="N142" s="300" t="n">
        <x:f>IF(C142&lt;&gt;"",2016,IF(D142&lt;&gt;"",2017,IF(E142&lt;&gt;"",2018,IF(F142&lt;&gt;"",2019,IF(G142&lt;&gt;"",2020,IF(H142&lt;&gt;"",2021,IF(I142&lt;&gt;"",2022,IF(J142&lt;&gt;"",2023,IF(K142&lt;&gt;"",2024,IF(L142&lt;&gt;"",2025,""))))))))))</x:f>
        <x:v>2025</x:v>
      </x:c>
      <x:c r="O142" s="300" t="n">
        <x:f>IF(L142&lt;&gt;"",2025,IF(K142&lt;&gt;"",2024,IF(J142&lt;&gt;"",2023,IF(I142&lt;&gt;"",2022,IF(H142&lt;&gt;"",2021,IF(G142&lt;&gt;"",2020,IF(F142&lt;&gt;"",2019,IF(E142&lt;&gt;"",2018,IF(D142&lt;&gt;"",2017,IF(C142&lt;&gt;"",2016,""))))))))))</x:f>
        <x:v>2025</x:v>
      </x:c>
      <x:c r="P142" s="299" t="str">
        <x:v>Still on the 2025 flagship</x:v>
      </x:c>
      <x:c r="Q142" s="299" t="str">
        <x:v>Still emerging / evolving</x:v>
      </x:c>
      <x:c r="R142" s="299" t="str">
        <x:v>By 2026 the category is still evolving quickly; commercial adoption exists or is beginning, but maturity and durable ROI vary significantly.</x:v>
      </x:c>
      <x:c r="S142" s="299" t="str"/>
      <x:c r="T142" s="300" t="str">
        <x:f>IFERROR(INDEX($C142:$L142,1,MATCH($N142,$C$4:$L$4,0)),"")</x:f>
        <x:v>IT</x:v>
      </x:c>
      <x:c r="U142" s="300" t="n">
        <x:f>IFERROR(VLOOKUP(T142,'Adoption Methodology'!$F$18:$G$22,2,FALSE),"")</x:f>
        <x:v>1</x:v>
      </x:c>
      <x:c r="V142" s="299" t="str">
        <x:f>IFERROR(VLOOKUP(U142,'Adoption Methodology'!$A$5:$C$10,3,FALSE),"")</x:f>
        <x:v>≈1–5% of relevant market; prototypes, pilots or very early deployments</x:v>
      </x:c>
      <x:c r="W142" s="300" t="n">
        <x:f>IFERROR(VLOOKUP(Q142,'Adoption Methodology'!$F$5:$H$12,2,FALSE),"")</x:f>
        <x:v>2</x:v>
      </x:c>
      <x:c r="X142" s="299" t="str">
        <x:f>IFERROR(VLOOKUP(W142,'Adoption Methodology'!$A$5:$C$10,3,FALSE),"")</x:f>
        <x:v>≈5–15% of relevant market; credible deployments but limited scale</x:v>
      </x:c>
      <x:c r="Y142" s="300" t="n">
        <x:f>IF(OR(U142="",W142=""),"",W142-U142)</x:f>
        <x:v>1</x:v>
      </x:c>
      <x:c r="Z142" s="299" t="str">
        <x:f>IF(Y142="","",IF(Y142&gt;0,"Adoption increased",IF(Y142=0,"Broadly unchanged","Adoption maturity lower")))</x:f>
        <x:v>Adoption increased</x:v>
      </x:c>
      <x:c r="AA142" s="300" t="str">
        <x:f>IFERROR(VLOOKUP(Q142,'Adoption Methodology'!$F$5:$H$12,3,FALSE),"Medium")</x:f>
        <x:v>Medium</x:v>
      </x:c>
      <x:c r="AB142" s="299" t="str">
        <x:f>IFERROR(VLOOKUP(A142,'Adoption Methodology'!$K$5:$L$14,2,FALSE),IFERROR(VLOOKUP(B142,'Adoption Methodology'!$N$5:$O$16,2,FALSE),"https://www.gartner.com/en/information-technology/technology-adoption-roadmaps"))</x:f>
        <x:v>https://www.gartner.com/en/information-technology/technology-adoption-roadmaps</x:v>
      </x:c>
      <x:c r="AC142" s="299" t="str">
        <x:f>IF(R142="","Modelled adoption maturity; see Adoption Methodology.",R142&amp;"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43">
      <x:c r="A143" s="299" t="str">
        <x:v>Machine-Readable Legislation</x:v>
      </x:c>
      <x:c r="B143" s="299" t="str">
        <x:v>Business / Emerging Technology</x:v>
      </x:c>
      <x:c r="C143" s="300" t="str"/>
      <x:c r="D143" s="300" t="str"/>
      <x:c r="E143" s="300" t="str"/>
      <x:c r="F143" s="300" t="str"/>
      <x:c r="G143" s="300" t="str"/>
      <x:c r="H143" s="300" t="str">
        <x:v>IT</x:v>
      </x:c>
      <x:c r="I143" s="300" t="str"/>
      <x:c r="J143" s="300" t="str"/>
      <x:c r="K143" s="300" t="str"/>
      <x:c r="L143" s="300" t="str"/>
      <x:c r="M143" s="300" t="n">
        <x:f>COUNTIF(C143:L143,"IT")+COUNTIF(C143:L143,"PE")+COUNTIF(C143:L143,"TD")+COUNTIF(C143:L143,"SE")+COUNTIF(C143:L143,"PP")</x:f>
        <x:v>1</x:v>
      </x:c>
      <x:c r="N143" s="300" t="n">
        <x:f>IF(C143&lt;&gt;"",2016,IF(D143&lt;&gt;"",2017,IF(E143&lt;&gt;"",2018,IF(F143&lt;&gt;"",2019,IF(G143&lt;&gt;"",2020,IF(H143&lt;&gt;"",2021,IF(I143&lt;&gt;"",2022,IF(J143&lt;&gt;"",2023,IF(K143&lt;&gt;"",2024,IF(L143&lt;&gt;"",2025,""))))))))))</x:f>
        <x:v>2021</x:v>
      </x:c>
      <x:c r="O143" s="300" t="n">
        <x:f>IF(L143&lt;&gt;"",2025,IF(K143&lt;&gt;"",2024,IF(J143&lt;&gt;"",2023,IF(I143&lt;&gt;"",2022,IF(H143&lt;&gt;"",2021,IF(G143&lt;&gt;"",2020,IF(F143&lt;&gt;"",2019,IF(E143&lt;&gt;"",2018,IF(D143&lt;&gt;"",2017,IF(C143&lt;&gt;"",2016,""))))))))))</x:f>
        <x:v>2021</x:v>
      </x:c>
      <x:c r="P143" s="299" t="str">
        <x:v>Explicitly retired / no longer tracked by Gartner (2022)</x:v>
      </x:c>
      <x:c r="Q143" s="299" t="str">
        <x:v>Exited flagship / evolving</x:v>
      </x:c>
      <x:c r="R143" s="299" t="str">
        <x:v>The label left the flagship cycle; Gartner’s flagship is deliberately dynamic, so exit should not be read as failure without checking specialist Hype Cycles.</x:v>
      </x:c>
      <x:c r="S143" s="299" t="str"/>
      <x:c r="T143" s="300" t="str">
        <x:f>IFERROR(INDEX($C143:$L143,1,MATCH($N143,$C$4:$L$4,0)),"")</x:f>
        <x:v>IT</x:v>
      </x:c>
      <x:c r="U143" s="300" t="n">
        <x:f>IFERROR(VLOOKUP(T143,'Adoption Methodology'!$F$18:$G$22,2,FALSE),"")</x:f>
        <x:v>1</x:v>
      </x:c>
      <x:c r="V143" s="299" t="str">
        <x:f>IFERROR(VLOOKUP(U143,'Adoption Methodology'!$A$5:$C$10,3,FALSE),"")</x:f>
        <x:v>≈1–5% of relevant market; prototypes, pilots or very early deployments</x:v>
      </x:c>
      <x:c r="W143" s="300" t="n">
        <x:f>IFERROR(VLOOKUP(Q143,'Adoption Methodology'!$F$5:$H$12,2,FALSE),"")</x:f>
        <x:v>2</x:v>
      </x:c>
      <x:c r="X143" s="299" t="str">
        <x:f>IFERROR(VLOOKUP(W143,'Adoption Methodology'!$A$5:$C$10,3,FALSE),"")</x:f>
        <x:v>≈5–15% of relevant market; credible deployments but limited scale</x:v>
      </x:c>
      <x:c r="Y143" s="300" t="n">
        <x:f>IF(OR(U143="",W143=""),"",W143-U143)</x:f>
        <x:v>1</x:v>
      </x:c>
      <x:c r="Z143" s="299" t="str">
        <x:f>IF(Y143="","",IF(Y143&gt;0,"Adoption increased",IF(Y143=0,"Broadly unchanged","Adoption maturity lower")))</x:f>
        <x:v>Adoption increased</x:v>
      </x:c>
      <x:c r="AA143" s="300" t="str">
        <x:f>IFERROR(VLOOKUP(Q143,'Adoption Methodology'!$F$5:$H$12,3,FALSE),"Medium")</x:f>
        <x:v>Medium-Low</x:v>
      </x:c>
      <x:c r="AB143" s="299" t="str">
        <x:f>IFERROR(VLOOKUP(A143,'Adoption Methodology'!$K$5:$L$14,2,FALSE),IFERROR(VLOOKUP(B143,'Adoption Methodology'!$N$5:$O$16,2,FALSE),"https://www.gartner.com/en/information-technology/technology-adoption-roadmaps"))</x:f>
        <x:v>https://www.gartner.com/en/information-technology/technology-adoption-roadmaps</x:v>
      </x:c>
      <x:c r="AC143" s="299" t="str">
        <x:f>IF(R143="","Modelled adoption maturity; see Adoption Methodology.",R143&amp;"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44">
      <x:c r="A144" s="299" t="str">
        <x:v>Meta Computing</x:v>
      </x:c>
      <x:c r="B144" s="299" t="str">
        <x:v>Business / Emerging Technology</x:v>
      </x:c>
      <x:c r="C144" s="300" t="str"/>
      <x:c r="D144" s="300" t="str"/>
      <x:c r="E144" s="300" t="str"/>
      <x:c r="F144" s="300" t="str"/>
      <x:c r="G144" s="300" t="str"/>
      <x:c r="H144" s="300" t="str"/>
      <x:c r="I144" s="300" t="str"/>
      <x:c r="J144" s="300" t="str"/>
      <x:c r="K144" s="300" t="str"/>
      <x:c r="L144" s="300" t="str">
        <x:v>IT</x:v>
      </x:c>
      <x:c r="M144" s="300" t="n">
        <x:f>COUNTIF(C144:L144,"IT")+COUNTIF(C144:L144,"PE")+COUNTIF(C144:L144,"TD")+COUNTIF(C144:L144,"SE")+COUNTIF(C144:L144,"PP")</x:f>
        <x:v>1</x:v>
      </x:c>
      <x:c r="N144" s="300" t="n">
        <x:f>IF(C144&lt;&gt;"",2016,IF(D144&lt;&gt;"",2017,IF(E144&lt;&gt;"",2018,IF(F144&lt;&gt;"",2019,IF(G144&lt;&gt;"",2020,IF(H144&lt;&gt;"",2021,IF(I144&lt;&gt;"",2022,IF(J144&lt;&gt;"",2023,IF(K144&lt;&gt;"",2024,IF(L144&lt;&gt;"",2025,""))))))))))</x:f>
        <x:v>2025</x:v>
      </x:c>
      <x:c r="O144" s="300" t="n">
        <x:f>IF(L144&lt;&gt;"",2025,IF(K144&lt;&gt;"",2024,IF(J144&lt;&gt;"",2023,IF(I144&lt;&gt;"",2022,IF(H144&lt;&gt;"",2021,IF(G144&lt;&gt;"",2020,IF(F144&lt;&gt;"",2019,IF(E144&lt;&gt;"",2018,IF(D144&lt;&gt;"",2017,IF(C144&lt;&gt;"",2016,""))))))))))</x:f>
        <x:v>2025</x:v>
      </x:c>
      <x:c r="P144" s="299" t="str">
        <x:v>Still on the 2025 flagship</x:v>
      </x:c>
      <x:c r="Q144" s="299" t="str">
        <x:v>Still emerging / evolving</x:v>
      </x:c>
      <x:c r="R144" s="299" t="str">
        <x:v>By 2026 the category is still evolving quickly; commercial adoption exists or is beginning, but maturity and durable ROI vary significantly.</x:v>
      </x:c>
      <x:c r="S144" s="299" t="str"/>
      <x:c r="T144" s="300" t="str">
        <x:f>IFERROR(INDEX($C144:$L144,1,MATCH($N144,$C$4:$L$4,0)),"")</x:f>
        <x:v>IT</x:v>
      </x:c>
      <x:c r="U144" s="300" t="n">
        <x:f>IFERROR(VLOOKUP(T144,'Adoption Methodology'!$F$18:$G$22,2,FALSE),"")</x:f>
        <x:v>1</x:v>
      </x:c>
      <x:c r="V144" s="299" t="str">
        <x:f>IFERROR(VLOOKUP(U144,'Adoption Methodology'!$A$5:$C$10,3,FALSE),"")</x:f>
        <x:v>≈1–5% of relevant market; prototypes, pilots or very early deployments</x:v>
      </x:c>
      <x:c r="W144" s="300" t="n">
        <x:f>IFERROR(VLOOKUP(Q144,'Adoption Methodology'!$F$5:$H$12,2,FALSE),"")</x:f>
        <x:v>2</x:v>
      </x:c>
      <x:c r="X144" s="299" t="str">
        <x:f>IFERROR(VLOOKUP(W144,'Adoption Methodology'!$A$5:$C$10,3,FALSE),"")</x:f>
        <x:v>≈5–15% of relevant market; credible deployments but limited scale</x:v>
      </x:c>
      <x:c r="Y144" s="300" t="n">
        <x:f>IF(OR(U144="",W144=""),"",W144-U144)</x:f>
        <x:v>1</x:v>
      </x:c>
      <x:c r="Z144" s="299" t="str">
        <x:f>IF(Y144="","",IF(Y144&gt;0,"Adoption increased",IF(Y144=0,"Broadly unchanged","Adoption maturity lower")))</x:f>
        <x:v>Adoption increased</x:v>
      </x:c>
      <x:c r="AA144" s="300" t="str">
        <x:f>IFERROR(VLOOKUP(Q144,'Adoption Methodology'!$F$5:$H$12,3,FALSE),"Medium")</x:f>
        <x:v>Medium</x:v>
      </x:c>
      <x:c r="AB144" s="299" t="str">
        <x:f>IFERROR(VLOOKUP(A144,'Adoption Methodology'!$K$5:$L$14,2,FALSE),IFERROR(VLOOKUP(B144,'Adoption Methodology'!$N$5:$O$16,2,FALSE),"https://www.gartner.com/en/information-technology/technology-adoption-roadmaps"))</x:f>
        <x:v>https://www.gartner.com/en/information-technology/technology-adoption-roadmaps</x:v>
      </x:c>
      <x:c r="AC144" s="299" t="str">
        <x:f>IF(R144="","Modelled adoption maturity; see Adoption Methodology.",R144&amp;"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45">
      <x:c r="A145" s="299" t="str">
        <x:v>Metaverse</x:v>
      </x:c>
      <x:c r="B145" s="299" t="str">
        <x:v>Business / Emerging Technology</x:v>
      </x:c>
      <x:c r="C145" s="300" t="str"/>
      <x:c r="D145" s="300" t="str"/>
      <x:c r="E145" s="300" t="str"/>
      <x:c r="F145" s="300" t="str"/>
      <x:c r="G145" s="300" t="str"/>
      <x:c r="H145" s="300" t="str"/>
      <x:c r="I145" s="300" t="str">
        <x:v>IT</x:v>
      </x:c>
      <x:c r="J145" s="300" t="str"/>
      <x:c r="K145" s="300" t="str"/>
      <x:c r="L145" s="300" t="str"/>
      <x:c r="M145" s="300" t="n">
        <x:f>COUNTIF(C145:L145,"IT")+COUNTIF(C145:L145,"PE")+COUNTIF(C145:L145,"TD")+COUNTIF(C145:L145,"SE")+COUNTIF(C145:L145,"PP")</x:f>
        <x:v>1</x:v>
      </x:c>
      <x:c r="N145" s="300" t="n">
        <x:f>IF(C145&lt;&gt;"",2016,IF(D145&lt;&gt;"",2017,IF(E145&lt;&gt;"",2018,IF(F145&lt;&gt;"",2019,IF(G145&lt;&gt;"",2020,IF(H145&lt;&gt;"",2021,IF(I145&lt;&gt;"",2022,IF(J145&lt;&gt;"",2023,IF(K145&lt;&gt;"",2024,IF(L145&lt;&gt;"",2025,""))))))))))</x:f>
        <x:v>2022</x:v>
      </x:c>
      <x:c r="O145" s="300" t="n">
        <x:f>IF(L145&lt;&gt;"",2025,IF(K145&lt;&gt;"",2024,IF(J145&lt;&gt;"",2023,IF(I145&lt;&gt;"",2022,IF(H145&lt;&gt;"",2021,IF(G145&lt;&gt;"",2020,IF(F145&lt;&gt;"",2019,IF(E145&lt;&gt;"",2018,IF(D145&lt;&gt;"",2017,IF(C145&lt;&gt;"",2016,""))))))))))</x:f>
        <x:v>2022</x:v>
      </x:c>
      <x:c r="P145" s="299" t="str">
        <x:v>Exited flagship; may continue on specialist Hype Cycles</x:v>
      </x:c>
      <x:c r="Q145" s="299" t="str">
        <x:v>Hype cooled / niche</x:v>
      </x:c>
      <x:c r="R145" s="299" t="str">
        <x:v>By 2026 the original hype has materially cooled; use persists in narrower or redefined applications rather than the broad promise implied at peak.</x:v>
      </x:c>
      <x:c r="S145" s="299" t="str"/>
      <x:c r="T145" s="300" t="str">
        <x:f>IFERROR(INDEX($C145:$L145,1,MATCH($N145,$C$4:$L$4,0)),"")</x:f>
        <x:v>IT</x:v>
      </x:c>
      <x:c r="U145" s="300" t="n">
        <x:f>IFERROR(VLOOKUP(T145,'Adoption Methodology'!$F$18:$G$22,2,FALSE),"")</x:f>
        <x:v>1</x:v>
      </x:c>
      <x:c r="V145" s="299" t="str">
        <x:f>IFERROR(VLOOKUP(U145,'Adoption Methodology'!$A$5:$C$10,3,FALSE),"")</x:f>
        <x:v>≈1–5% of relevant market; prototypes, pilots or very early deployments</x:v>
      </x:c>
      <x:c r="W145" s="300" t="n">
        <x:f>IFERROR(VLOOKUP(Q145,'Adoption Methodology'!$F$5:$H$12,2,FALSE),"")</x:f>
        <x:v>2</x:v>
      </x:c>
      <x:c r="X145" s="299" t="str">
        <x:f>IFERROR(VLOOKUP(W145,'Adoption Methodology'!$A$5:$C$10,3,FALSE),"")</x:f>
        <x:v>≈5–15% of relevant market; credible deployments but limited scale</x:v>
      </x:c>
      <x:c r="Y145" s="300" t="n">
        <x:f>IF(OR(U145="",W145=""),"",W145-U145)</x:f>
        <x:v>1</x:v>
      </x:c>
      <x:c r="Z145" s="299" t="str">
        <x:f>IF(Y145="","",IF(Y145&gt;0,"Adoption increased",IF(Y145=0,"Broadly unchanged","Adoption maturity lower")))</x:f>
        <x:v>Adoption increased</x:v>
      </x:c>
      <x:c r="AA145" s="300" t="str">
        <x:f>IFERROR(VLOOKUP(Q145,'Adoption Methodology'!$F$5:$H$12,3,FALSE),"Medium")</x:f>
        <x:v>Medium</x:v>
      </x:c>
      <x:c r="AB145" s="299" t="str">
        <x:f>IFERROR(VLOOKUP(A145,'Adoption Methodology'!$K$5:$L$14,2,FALSE),IFERROR(VLOOKUP(B145,'Adoption Methodology'!$N$5:$O$16,2,FALSE),"https://www.gartner.com/en/information-technology/technology-adoption-roadmaps"))</x:f>
        <x:v>https://www.gartner.com/en/information-technology/technology-adoption-roadmaps</x:v>
      </x:c>
      <x:c r="AC145" s="299" t="str">
        <x:f>IF(R145="","Modelled adoption maturity; see Adoption Methodology.",R145&amp;"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46">
      <x:c r="A146" s="299" t="str">
        <x:v>Micro Data Centers</x:v>
      </x:c>
      <x:c r="B146" s="299" t="str">
        <x:v>Business / Emerging Technology</x:v>
      </x:c>
      <x:c r="C146" s="300" t="str">
        <x:v>IT</x:v>
      </x:c>
      <x:c r="D146" s="300" t="str"/>
      <x:c r="E146" s="300" t="str"/>
      <x:c r="F146" s="300" t="str"/>
      <x:c r="G146" s="300" t="str"/>
      <x:c r="H146" s="300" t="str"/>
      <x:c r="I146" s="300" t="str"/>
      <x:c r="J146" s="300" t="str"/>
      <x:c r="K146" s="300" t="str"/>
      <x:c r="L146" s="300" t="str"/>
      <x:c r="M146" s="300" t="n">
        <x:f>COUNTIF(C146:L146,"IT")+COUNTIF(C146:L146,"PE")+COUNTIF(C146:L146,"TD")+COUNTIF(C146:L146,"SE")+COUNTIF(C146:L146,"PP")</x:f>
        <x:v>1</x:v>
      </x:c>
      <x:c r="N146" s="300" t="n">
        <x:f>IF(C146&lt;&gt;"",2016,IF(D146&lt;&gt;"",2017,IF(E146&lt;&gt;"",2018,IF(F146&lt;&gt;"",2019,IF(G146&lt;&gt;"",2020,IF(H146&lt;&gt;"",2021,IF(I146&lt;&gt;"",2022,IF(J146&lt;&gt;"",2023,IF(K146&lt;&gt;"",2024,IF(L146&lt;&gt;"",2025,""))))))))))</x:f>
        <x:v>2016</x:v>
      </x:c>
      <x:c r="O146" s="300" t="n">
        <x:f>IF(L146&lt;&gt;"",2025,IF(K146&lt;&gt;"",2024,IF(J146&lt;&gt;"",2023,IF(I146&lt;&gt;"",2022,IF(H146&lt;&gt;"",2021,IF(G146&lt;&gt;"",2020,IF(F146&lt;&gt;"",2019,IF(E146&lt;&gt;"",2018,IF(D146&lt;&gt;"",2017,IF(C146&lt;&gt;"",2016,""))))))))))</x:f>
        <x:v>2016</x:v>
      </x:c>
      <x:c r="P146" s="299" t="str">
        <x:v>Exited flagship; may continue on specialist Hype Cycles</x:v>
      </x:c>
      <x:c r="Q146" s="299" t="str">
        <x:v>Superseded / absorbed</x:v>
      </x:c>
      <x:c r="R146" s="299" t="str">
        <x:v>The concept largely survives inside broader platforms, successor terminology or more specific technology categories rather than as a standalone label.</x:v>
      </x:c>
      <x:c r="S146" s="299" t="str"/>
      <x:c r="T146" s="300" t="str">
        <x:f>IFERROR(INDEX($C146:$L146,1,MATCH($N146,$C$4:$L$4,0)),"")</x:f>
        <x:v>IT</x:v>
      </x:c>
      <x:c r="U146" s="300" t="n">
        <x:f>IFERROR(VLOOKUP(T146,'Adoption Methodology'!$F$18:$G$22,2,FALSE),"")</x:f>
        <x:v>1</x:v>
      </x:c>
      <x:c r="V146" s="299" t="str">
        <x:f>IFERROR(VLOOKUP(U146,'Adoption Methodology'!$A$5:$C$10,3,FALSE),"")</x:f>
        <x:v>≈1–5% of relevant market; prototypes, pilots or very early deployments</x:v>
      </x:c>
      <x:c r="W146" s="300" t="n">
        <x:f>IFERROR(VLOOKUP(Q146,'Adoption Methodology'!$F$5:$H$12,2,FALSE),"")</x:f>
        <x:v>3</x:v>
      </x:c>
      <x:c r="X146" s="299" t="str">
        <x:f>IFERROR(VLOOKUP(W146,'Adoption Methodology'!$A$5:$C$10,3,FALSE),"")</x:f>
        <x:v>≈15–35% of relevant market, or capability absorbed into successor platforms</x:v>
      </x:c>
      <x:c r="Y146" s="300" t="n">
        <x:f>IF(OR(U146="",W146=""),"",W146-U146)</x:f>
        <x:v>2</x:v>
      </x:c>
      <x:c r="Z146" s="299" t="str">
        <x:f>IF(Y146="","",IF(Y146&gt;0,"Adoption increased",IF(Y146=0,"Broadly unchanged","Adoption maturity lower")))</x:f>
        <x:v>Adoption increased</x:v>
      </x:c>
      <x:c r="AA146" s="300" t="str">
        <x:f>IFERROR(VLOOKUP(Q146,'Adoption Methodology'!$F$5:$H$12,3,FALSE),"Medium")</x:f>
        <x:v>Medium-Low</x:v>
      </x:c>
      <x:c r="AB146" s="299" t="str">
        <x:f>IFERROR(VLOOKUP(A146,'Adoption Methodology'!$K$5:$L$14,2,FALSE),IFERROR(VLOOKUP(B146,'Adoption Methodology'!$N$5:$O$16,2,FALSE),"https://www.gartner.com/en/information-technology/technology-adoption-roadmaps"))</x:f>
        <x:v>https://www.gartner.com/en/information-technology/technology-adoption-roadmaps</x:v>
      </x:c>
      <x:c r="AC146" s="299" t="str">
        <x:f>IF(R146="","Modelled adoption maturity; see Adoption Methodology.",R146&amp;"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47">
      <x:c r="A147" s="299" t="str">
        <x:v>Minimum Viable Architecture</x:v>
      </x:c>
      <x:c r="B147" s="299" t="str">
        <x:v>Business / Emerging Technology</x:v>
      </x:c>
      <x:c r="C147" s="300" t="str"/>
      <x:c r="D147" s="300" t="str"/>
      <x:c r="E147" s="300" t="str"/>
      <x:c r="F147" s="300" t="str"/>
      <x:c r="G147" s="300" t="str"/>
      <x:c r="H147" s="300" t="str"/>
      <x:c r="I147" s="300" t="str">
        <x:v>IT</x:v>
      </x:c>
      <x:c r="J147" s="300" t="str"/>
      <x:c r="K147" s="300" t="str"/>
      <x:c r="L147" s="300" t="str"/>
      <x:c r="M147" s="300" t="n">
        <x:f>COUNTIF(C147:L147,"IT")+COUNTIF(C147:L147,"PE")+COUNTIF(C147:L147,"TD")+COUNTIF(C147:L147,"SE")+COUNTIF(C147:L147,"PP")</x:f>
        <x:v>1</x:v>
      </x:c>
      <x:c r="N147" s="300" t="n">
        <x:f>IF(C147&lt;&gt;"",2016,IF(D147&lt;&gt;"",2017,IF(E147&lt;&gt;"",2018,IF(F147&lt;&gt;"",2019,IF(G147&lt;&gt;"",2020,IF(H147&lt;&gt;"",2021,IF(I147&lt;&gt;"",2022,IF(J147&lt;&gt;"",2023,IF(K147&lt;&gt;"",2024,IF(L147&lt;&gt;"",2025,""))))))))))</x:f>
        <x:v>2022</x:v>
      </x:c>
      <x:c r="O147" s="300" t="n">
        <x:f>IF(L147&lt;&gt;"",2025,IF(K147&lt;&gt;"",2024,IF(J147&lt;&gt;"",2023,IF(I147&lt;&gt;"",2022,IF(H147&lt;&gt;"",2021,IF(G147&lt;&gt;"",2020,IF(F147&lt;&gt;"",2019,IF(E147&lt;&gt;"",2018,IF(D147&lt;&gt;"",2017,IF(C147&lt;&gt;"",2016,""))))))))))</x:f>
        <x:v>2022</x:v>
      </x:c>
      <x:c r="P147" s="299" t="str">
        <x:v>Exited flagship; may continue on specialist Hype Cycles</x:v>
      </x:c>
      <x:c r="Q147" s="299" t="str">
        <x:v>Superseded / absorbed</x:v>
      </x:c>
      <x:c r="R147" s="299" t="str">
        <x:v>The concept largely survives inside broader platforms, successor terminology or more specific technology categories rather than as a standalone label.</x:v>
      </x:c>
      <x:c r="S147" s="299" t="str"/>
      <x:c r="T147" s="300" t="str">
        <x:f>IFERROR(INDEX($C147:$L147,1,MATCH($N147,$C$4:$L$4,0)),"")</x:f>
        <x:v>IT</x:v>
      </x:c>
      <x:c r="U147" s="300" t="n">
        <x:f>IFERROR(VLOOKUP(T147,'Adoption Methodology'!$F$18:$G$22,2,FALSE),"")</x:f>
        <x:v>1</x:v>
      </x:c>
      <x:c r="V147" s="299" t="str">
        <x:f>IFERROR(VLOOKUP(U147,'Adoption Methodology'!$A$5:$C$10,3,FALSE),"")</x:f>
        <x:v>≈1–5% of relevant market; prototypes, pilots or very early deployments</x:v>
      </x:c>
      <x:c r="W147" s="300" t="n">
        <x:f>IFERROR(VLOOKUP(Q147,'Adoption Methodology'!$F$5:$H$12,2,FALSE),"")</x:f>
        <x:v>3</x:v>
      </x:c>
      <x:c r="X147" s="299" t="str">
        <x:f>IFERROR(VLOOKUP(W147,'Adoption Methodology'!$A$5:$C$10,3,FALSE),"")</x:f>
        <x:v>≈15–35% of relevant market, or capability absorbed into successor platforms</x:v>
      </x:c>
      <x:c r="Y147" s="300" t="n">
        <x:f>IF(OR(U147="",W147=""),"",W147-U147)</x:f>
        <x:v>2</x:v>
      </x:c>
      <x:c r="Z147" s="299" t="str">
        <x:f>IF(Y147="","",IF(Y147&gt;0,"Adoption increased",IF(Y147=0,"Broadly unchanged","Adoption maturity lower")))</x:f>
        <x:v>Adoption increased</x:v>
      </x:c>
      <x:c r="AA147" s="300" t="str">
        <x:f>IFERROR(VLOOKUP(Q147,'Adoption Methodology'!$F$5:$H$12,3,FALSE),"Medium")</x:f>
        <x:v>Medium-Low</x:v>
      </x:c>
      <x:c r="AB147" s="299" t="str">
        <x:f>IFERROR(VLOOKUP(A147,'Adoption Methodology'!$K$5:$L$14,2,FALSE),IFERROR(VLOOKUP(B147,'Adoption Methodology'!$N$5:$O$16,2,FALSE),"https://www.gartner.com/en/information-technology/technology-adoption-roadmaps"))</x:f>
        <x:v>https://www.gartner.com/en/information-technology/technology-adoption-roadmaps</x:v>
      </x:c>
      <x:c r="AC147" s="299" t="str">
        <x:f>IF(R147="","Modelled adoption maturity; see Adoption Methodology.",R147&amp;"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48">
      <x:c r="A148" s="299" t="str">
        <x:v>Mixed Reality</x:v>
      </x:c>
      <x:c r="B148" s="299" t="str">
        <x:v>Experience / Spatial Computing</x:v>
      </x:c>
      <x:c r="C148" s="300" t="str"/>
      <x:c r="D148" s="300" t="str"/>
      <x:c r="E148" s="300" t="str">
        <x:v>TD</x:v>
      </x:c>
      <x:c r="F148" s="300" t="str"/>
      <x:c r="G148" s="300" t="str"/>
      <x:c r="H148" s="300" t="str"/>
      <x:c r="I148" s="300" t="str"/>
      <x:c r="J148" s="300" t="str"/>
      <x:c r="K148" s="300" t="str"/>
      <x:c r="L148" s="300" t="str"/>
      <x:c r="M148" s="300" t="n">
        <x:f>COUNTIF(C148:L148,"IT")+COUNTIF(C148:L148,"PE")+COUNTIF(C148:L148,"TD")+COUNTIF(C148:L148,"SE")+COUNTIF(C148:L148,"PP")</x:f>
        <x:v>1</x:v>
      </x:c>
      <x:c r="N148" s="300" t="n">
        <x:f>IF(C148&lt;&gt;"",2016,IF(D148&lt;&gt;"",2017,IF(E148&lt;&gt;"",2018,IF(F148&lt;&gt;"",2019,IF(G148&lt;&gt;"",2020,IF(H148&lt;&gt;"",2021,IF(I148&lt;&gt;"",2022,IF(J148&lt;&gt;"",2023,IF(K148&lt;&gt;"",2024,IF(L148&lt;&gt;"",2025,""))))))))))</x:f>
        <x:v>2018</x:v>
      </x:c>
      <x:c r="O148" s="300" t="n">
        <x:f>IF(L148&lt;&gt;"",2025,IF(K148&lt;&gt;"",2024,IF(J148&lt;&gt;"",2023,IF(I148&lt;&gt;"",2022,IF(H148&lt;&gt;"",2021,IF(G148&lt;&gt;"",2020,IF(F148&lt;&gt;"",2019,IF(E148&lt;&gt;"",2018,IF(D148&lt;&gt;"",2017,IF(C148&lt;&gt;"",2016,""))))))))))</x:f>
        <x:v>2018</x:v>
      </x:c>
      <x:c r="P148" s="299" t="str">
        <x:v>Exited flagship; may continue on specialist Hype Cycles</x:v>
      </x:c>
      <x:c r="Q148" s="299" t="str">
        <x:v>Established / specialist</x:v>
      </x:c>
      <x:c r="R148" s="299" t="str">
        <x:v>By 2026 there are credible production uses and vendors, but adoption is concentrated in particular workloads, industries or architectures rather than universal.</x:v>
      </x:c>
      <x:c r="S148" s="299" t="str"/>
      <x:c r="T148" s="300" t="str">
        <x:f>IFERROR(INDEX($C148:$L148,1,MATCH($N148,$C$4:$L$4,0)),"")</x:f>
        <x:v>TD</x:v>
      </x:c>
      <x:c r="U148" s="300" t="n">
        <x:f>IFERROR(VLOOKUP(T148,'Adoption Methodology'!$F$18:$G$22,2,FALSE),"")</x:f>
        <x:v>2</x:v>
      </x:c>
      <x:c r="V148" s="299" t="str">
        <x:f>IFERROR(VLOOKUP(U148,'Adoption Methodology'!$A$5:$C$10,3,FALSE),"")</x:f>
        <x:v>≈5–15% of relevant market; credible deployments but limited scale</x:v>
      </x:c>
      <x:c r="W148" s="300" t="n">
        <x:f>IFERROR(VLOOKUP(Q148,'Adoption Methodology'!$F$5:$H$12,2,FALSE),"")</x:f>
        <x:v>4</x:v>
      </x:c>
      <x:c r="X148" s="299" t="str">
        <x:f>IFERROR(VLOOKUP(W148,'Adoption Methodology'!$A$5:$C$10,3,FALSE),"")</x:f>
        <x:v>≈35–60% within the addressable segment; mature specialist use</x:v>
      </x:c>
      <x:c r="Y148" s="300" t="n">
        <x:f>IF(OR(U148="",W148=""),"",W148-U148)</x:f>
        <x:v>2</x:v>
      </x:c>
      <x:c r="Z148" s="299" t="str">
        <x:f>IF(Y148="","",IF(Y148&gt;0,"Adoption increased",IF(Y148=0,"Broadly unchanged","Adoption maturity lower")))</x:f>
        <x:v>Adoption increased</x:v>
      </x:c>
      <x:c r="AA148" s="300" t="str">
        <x:f>IFERROR(VLOOKUP(Q148,'Adoption Methodology'!$F$5:$H$12,3,FALSE),"Medium")</x:f>
        <x:v>High</x:v>
      </x:c>
      <x:c r="AB148" s="299" t="str">
        <x:f>IFERROR(VLOOKUP(A148,'Adoption Methodology'!$K$5:$L$14,2,FALSE),IFERROR(VLOOKUP(B148,'Adoption Methodology'!$N$5:$O$16,2,FALSE),"https://www.gartner.com/en/information-technology/technology-adoption-roadmaps"))</x:f>
        <x:v>https://www.mckinsey.com/featured-insights/mckinsey-explainers/what-is-digital-twin-technology</x:v>
      </x:c>
      <x:c r="AC148" s="299" t="str">
        <x:f>IF(R148="","Modelled adoption maturity; see Adoption Methodology.",R148&amp;"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49">
      <x:c r="A149" s="299" t="str">
        <x:v>Model Context Protocol</x:v>
      </x:c>
      <x:c r="B149" s="299" t="str">
        <x:v>AI / Data / Analytics</x:v>
      </x:c>
      <x:c r="C149" s="300" t="str"/>
      <x:c r="D149" s="300" t="str"/>
      <x:c r="E149" s="300" t="str"/>
      <x:c r="F149" s="300" t="str"/>
      <x:c r="G149" s="300" t="str"/>
      <x:c r="H149" s="300" t="str"/>
      <x:c r="I149" s="300" t="str"/>
      <x:c r="J149" s="300" t="str"/>
      <x:c r="K149" s="300" t="str"/>
      <x:c r="L149" s="300" t="str">
        <x:v>IT</x:v>
      </x:c>
      <x:c r="M149" s="300" t="n">
        <x:f>COUNTIF(C149:L149,"IT")+COUNTIF(C149:L149,"PE")+COUNTIF(C149:L149,"TD")+COUNTIF(C149:L149,"SE")+COUNTIF(C149:L149,"PP")</x:f>
        <x:v>1</x:v>
      </x:c>
      <x:c r="N149" s="300" t="n">
        <x:f>IF(C149&lt;&gt;"",2016,IF(D149&lt;&gt;"",2017,IF(E149&lt;&gt;"",2018,IF(F149&lt;&gt;"",2019,IF(G149&lt;&gt;"",2020,IF(H149&lt;&gt;"",2021,IF(I149&lt;&gt;"",2022,IF(J149&lt;&gt;"",2023,IF(K149&lt;&gt;"",2024,IF(L149&lt;&gt;"",2025,""))))))))))</x:f>
        <x:v>2025</x:v>
      </x:c>
      <x:c r="O149" s="300" t="n">
        <x:f>IF(L149&lt;&gt;"",2025,IF(K149&lt;&gt;"",2024,IF(J149&lt;&gt;"",2023,IF(I149&lt;&gt;"",2022,IF(H149&lt;&gt;"",2021,IF(G149&lt;&gt;"",2020,IF(F149&lt;&gt;"",2019,IF(E149&lt;&gt;"",2018,IF(D149&lt;&gt;"",2017,IF(C149&lt;&gt;"",2016,""))))))))))</x:f>
        <x:v>2025</x:v>
      </x:c>
      <x:c r="P149" s="299" t="str">
        <x:v>Still on the 2025 flagship</x:v>
      </x:c>
      <x:c r="Q149" s="299" t="str">
        <x:v>Still emerging / evolving</x:v>
      </x:c>
      <x:c r="R149" s="299" t="str">
        <x:v>By 2026 the category is still evolving quickly; commercial adoption exists or is beginning, but maturity and durable ROI vary significantly.</x:v>
      </x:c>
      <x:c r="S149" s="299" t="str">
        <x:v>Public 2026 reporting says MCP moved rapidly from Innovation Trigger to the Peak.</x:v>
      </x:c>
      <x:c r="T149" s="300" t="str">
        <x:f>IFERROR(INDEX($C149:$L149,1,MATCH($N149,$C$4:$L$4,0)),"")</x:f>
        <x:v>IT</x:v>
      </x:c>
      <x:c r="U149" s="300" t="n">
        <x:f>IFERROR(VLOOKUP(T149,'Adoption Methodology'!$F$18:$G$22,2,FALSE),"")</x:f>
        <x:v>1</x:v>
      </x:c>
      <x:c r="V149" s="299" t="str">
        <x:f>IFERROR(VLOOKUP(U149,'Adoption Methodology'!$A$5:$C$10,3,FALSE),"")</x:f>
        <x:v>≈1–5% of relevant market; prototypes, pilots or very early deployments</x:v>
      </x:c>
      <x:c r="W149" s="300" t="n">
        <x:f>IFERROR(VLOOKUP(Q149,'Adoption Methodology'!$F$5:$H$12,2,FALSE),"")</x:f>
        <x:v>2</x:v>
      </x:c>
      <x:c r="X149" s="299" t="str">
        <x:f>IFERROR(VLOOKUP(W149,'Adoption Methodology'!$A$5:$C$10,3,FALSE),"")</x:f>
        <x:v>≈5–15% of relevant market; credible deployments but limited scale</x:v>
      </x:c>
      <x:c r="Y149" s="300" t="n">
        <x:f>IF(OR(U149="",W149=""),"",W149-U149)</x:f>
        <x:v>1</x:v>
      </x:c>
      <x:c r="Z149" s="299" t="str">
        <x:f>IF(Y149="","",IF(Y149&gt;0,"Adoption increased",IF(Y149=0,"Broadly unchanged","Adoption maturity lower")))</x:f>
        <x:v>Adoption increased</x:v>
      </x:c>
      <x:c r="AA149" s="300" t="str">
        <x:f>IFERROR(VLOOKUP(Q149,'Adoption Methodology'!$F$5:$H$12,3,FALSE),"Medium")</x:f>
        <x:v>Medium</x:v>
      </x:c>
      <x:c r="AB149" s="299" t="str">
        <x:f>IFERROR(VLOOKUP(A149,'Adoption Methodology'!$K$5:$L$14,2,FALSE),IFERROR(VLOOKUP(B149,'Adoption Methodology'!$N$5:$O$16,2,FALSE),"https://www.gartner.com/en/information-technology/technology-adoption-roadmaps"))</x:f>
        <x:v>https://www.mckinsey.com/capabilities/quantumblack/our-insights/the-state-of-ai</x:v>
      </x:c>
      <x:c r="AC149" s="299" t="str">
        <x:f>IF(R149="","Modelled adoption maturity; see Adoption Methodology.",R149&amp;"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50">
      <x:c r="A150" s="299" t="str">
        <x:v>Multiagent Systems</x:v>
      </x:c>
      <x:c r="B150" s="299" t="str">
        <x:v>Autonomy / Robotics</x:v>
      </x:c>
      <x:c r="C150" s="300" t="str"/>
      <x:c r="D150" s="300" t="str"/>
      <x:c r="E150" s="300" t="str"/>
      <x:c r="F150" s="300" t="str"/>
      <x:c r="G150" s="300" t="str"/>
      <x:c r="H150" s="300" t="str"/>
      <x:c r="I150" s="300" t="str"/>
      <x:c r="J150" s="300" t="str"/>
      <x:c r="K150" s="300" t="str">
        <x:v>IT</x:v>
      </x:c>
      <x:c r="L150" s="300" t="str"/>
      <x:c r="M150" s="300" t="n">
        <x:f>COUNTIF(C150:L150,"IT")+COUNTIF(C150:L150,"PE")+COUNTIF(C150:L150,"TD")+COUNTIF(C150:L150,"SE")+COUNTIF(C150:L150,"PP")</x:f>
        <x:v>1</x:v>
      </x:c>
      <x:c r="N150" s="300" t="n">
        <x:f>IF(C150&lt;&gt;"",2016,IF(D150&lt;&gt;"",2017,IF(E150&lt;&gt;"",2018,IF(F150&lt;&gt;"",2019,IF(G150&lt;&gt;"",2020,IF(H150&lt;&gt;"",2021,IF(I150&lt;&gt;"",2022,IF(J150&lt;&gt;"",2023,IF(K150&lt;&gt;"",2024,IF(L150&lt;&gt;"",2025,""))))))))))</x:f>
        <x:v>2024</x:v>
      </x:c>
      <x:c r="O150" s="300" t="n">
        <x:f>IF(L150&lt;&gt;"",2025,IF(K150&lt;&gt;"",2024,IF(J150&lt;&gt;"",2023,IF(I150&lt;&gt;"",2022,IF(H150&lt;&gt;"",2021,IF(G150&lt;&gt;"",2020,IF(F150&lt;&gt;"",2019,IF(E150&lt;&gt;"",2018,IF(D150&lt;&gt;"",2017,IF(C150&lt;&gt;"",2016,""))))))))))</x:f>
        <x:v>2024</x:v>
      </x:c>
      <x:c r="P150" s="299" t="str">
        <x:v>Exited flagship; may continue on specialist Hype Cycles</x:v>
      </x:c>
      <x:c r="Q150" s="299" t="str">
        <x:v>Still emerging / evolving</x:v>
      </x:c>
      <x:c r="R150" s="299" t="str">
        <x:v>By 2026 the category is still evolving quickly; commercial adoption exists or is beginning, but maturity and durable ROI vary significantly.</x:v>
      </x:c>
      <x:c r="S150" s="299" t="str">
        <x:v>Part of the 2026 agentic-AI specialization cluster.</x:v>
      </x:c>
      <x:c r="T150" s="300" t="str">
        <x:f>IFERROR(INDEX($C150:$L150,1,MATCH($N150,$C$4:$L$4,0)),"")</x:f>
        <x:v>IT</x:v>
      </x:c>
      <x:c r="U150" s="300" t="n">
        <x:f>IFERROR(VLOOKUP(T150,'Adoption Methodology'!$F$18:$G$22,2,FALSE),"")</x:f>
        <x:v>1</x:v>
      </x:c>
      <x:c r="V150" s="299" t="str">
        <x:f>IFERROR(VLOOKUP(U150,'Adoption Methodology'!$A$5:$C$10,3,FALSE),"")</x:f>
        <x:v>≈1–5% of relevant market; prototypes, pilots or very early deployments</x:v>
      </x:c>
      <x:c r="W150" s="300" t="n">
        <x:f>IFERROR(VLOOKUP(Q150,'Adoption Methodology'!$F$5:$H$12,2,FALSE),"")</x:f>
        <x:v>2</x:v>
      </x:c>
      <x:c r="X150" s="299" t="str">
        <x:f>IFERROR(VLOOKUP(W150,'Adoption Methodology'!$A$5:$C$10,3,FALSE),"")</x:f>
        <x:v>≈5–15% of relevant market; credible deployments but limited scale</x:v>
      </x:c>
      <x:c r="Y150" s="300" t="n">
        <x:f>IF(OR(U150="",W150=""),"",W150-U150)</x:f>
        <x:v>1</x:v>
      </x:c>
      <x:c r="Z150" s="299" t="str">
        <x:f>IF(Y150="","",IF(Y150&gt;0,"Adoption increased",IF(Y150=0,"Broadly unchanged","Adoption maturity lower")))</x:f>
        <x:v>Adoption increased</x:v>
      </x:c>
      <x:c r="AA150" s="300" t="str">
        <x:f>IFERROR(VLOOKUP(Q150,'Adoption Methodology'!$F$5:$H$12,3,FALSE),"Medium")</x:f>
        <x:v>Medium</x:v>
      </x:c>
      <x:c r="AB150" s="299" t="str">
        <x:f>IFERROR(VLOOKUP(A150,'Adoption Methodology'!$K$5:$L$14,2,FALSE),IFERROR(VLOOKUP(B150,'Adoption Methodology'!$N$5:$O$16,2,FALSE),"https://www.gartner.com/en/information-technology/technology-adoption-roadmaps"))</x:f>
        <x:v>https://ifr.org/worldrobotics/report-2025</x:v>
      </x:c>
      <x:c r="AC150" s="299" t="str">
        <x:f>IF(R150="","Modelled adoption maturity; see Adoption Methodology.",R150&amp;"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51">
      <x:c r="A151" s="299" t="str">
        <x:v>Multiexperience</x:v>
      </x:c>
      <x:c r="B151" s="299" t="str">
        <x:v>Experience / Spatial Computing</x:v>
      </x:c>
      <x:c r="C151" s="300" t="str"/>
      <x:c r="D151" s="300" t="str"/>
      <x:c r="E151" s="300" t="str"/>
      <x:c r="F151" s="300" t="str"/>
      <x:c r="G151" s="300" t="str">
        <x:v>IT</x:v>
      </x:c>
      <x:c r="H151" s="300" t="str">
        <x:v>IT</x:v>
      </x:c>
      <x:c r="I151" s="300" t="str"/>
      <x:c r="J151" s="300" t="str"/>
      <x:c r="K151" s="300" t="str"/>
      <x:c r="L151" s="300" t="str"/>
      <x:c r="M151" s="300" t="n">
        <x:f>COUNTIF(C151:L151,"IT")+COUNTIF(C151:L151,"PE")+COUNTIF(C151:L151,"TD")+COUNTIF(C151:L151,"SE")+COUNTIF(C151:L151,"PP")</x:f>
        <x:v>2</x:v>
      </x:c>
      <x:c r="N151" s="300" t="n">
        <x:f>IF(C151&lt;&gt;"",2016,IF(D151&lt;&gt;"",2017,IF(E151&lt;&gt;"",2018,IF(F151&lt;&gt;"",2019,IF(G151&lt;&gt;"",2020,IF(H151&lt;&gt;"",2021,IF(I151&lt;&gt;"",2022,IF(J151&lt;&gt;"",2023,IF(K151&lt;&gt;"",2024,IF(L151&lt;&gt;"",2025,""))))))))))</x:f>
        <x:v>2020</x:v>
      </x:c>
      <x:c r="O151" s="300" t="n">
        <x:f>IF(L151&lt;&gt;"",2025,IF(K151&lt;&gt;"",2024,IF(J151&lt;&gt;"",2023,IF(I151&lt;&gt;"",2022,IF(H151&lt;&gt;"",2021,IF(G151&lt;&gt;"",2020,IF(F151&lt;&gt;"",2019,IF(E151&lt;&gt;"",2018,IF(D151&lt;&gt;"",2017,IF(C151&lt;&gt;"",2016,""))))))))))</x:f>
        <x:v>2021</x:v>
      </x:c>
      <x:c r="P151" s="299" t="str">
        <x:v>Exited flagship; may continue on specialist Hype Cycles</x:v>
      </x:c>
      <x:c r="Q151" s="299" t="str">
        <x:v>Established / specialist</x:v>
      </x:c>
      <x:c r="R151" s="299" t="str">
        <x:v>By 2026 there are credible production uses and vendors, but adoption is concentrated in particular workloads, industries or architectures rather than universal.</x:v>
      </x:c>
      <x:c r="S151" s="299" t="str"/>
      <x:c r="T151" s="300" t="str">
        <x:f>IFERROR(INDEX($C151:$L151,1,MATCH($N151,$C$4:$L$4,0)),"")</x:f>
        <x:v>IT</x:v>
      </x:c>
      <x:c r="U151" s="300" t="n">
        <x:f>IFERROR(VLOOKUP(T151,'Adoption Methodology'!$F$18:$G$22,2,FALSE),"")</x:f>
        <x:v>1</x:v>
      </x:c>
      <x:c r="V151" s="299" t="str">
        <x:f>IFERROR(VLOOKUP(U151,'Adoption Methodology'!$A$5:$C$10,3,FALSE),"")</x:f>
        <x:v>≈1–5% of relevant market; prototypes, pilots or very early deployments</x:v>
      </x:c>
      <x:c r="W151" s="300" t="n">
        <x:f>IFERROR(VLOOKUP(Q151,'Adoption Methodology'!$F$5:$H$12,2,FALSE),"")</x:f>
        <x:v>4</x:v>
      </x:c>
      <x:c r="X151" s="299" t="str">
        <x:f>IFERROR(VLOOKUP(W151,'Adoption Methodology'!$A$5:$C$10,3,FALSE),"")</x:f>
        <x:v>≈35–60% within the addressable segment; mature specialist use</x:v>
      </x:c>
      <x:c r="Y151" s="300" t="n">
        <x:f>IF(OR(U151="",W151=""),"",W151-U151)</x:f>
        <x:v>3</x:v>
      </x:c>
      <x:c r="Z151" s="299" t="str">
        <x:f>IF(Y151="","",IF(Y151&gt;0,"Adoption increased",IF(Y151=0,"Broadly unchanged","Adoption maturity lower")))</x:f>
        <x:v>Adoption increased</x:v>
      </x:c>
      <x:c r="AA151" s="300" t="str">
        <x:f>IFERROR(VLOOKUP(Q151,'Adoption Methodology'!$F$5:$H$12,3,FALSE),"Medium")</x:f>
        <x:v>High</x:v>
      </x:c>
      <x:c r="AB151" s="299" t="str">
        <x:f>IFERROR(VLOOKUP(A151,'Adoption Methodology'!$K$5:$L$14,2,FALSE),IFERROR(VLOOKUP(B151,'Adoption Methodology'!$N$5:$O$16,2,FALSE),"https://www.gartner.com/en/information-technology/technology-adoption-roadmaps"))</x:f>
        <x:v>https://www.mckinsey.com/featured-insights/mckinsey-explainers/what-is-digital-twin-technology</x:v>
      </x:c>
      <x:c r="AC151" s="299" t="str">
        <x:f>IF(R151="","Modelled adoption maturity; see Adoption Methodology.",R151&amp;"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52">
      <x:c r="A152" s="299" t="str">
        <x:v>Named Data Networking</x:v>
      </x:c>
      <x:c r="B152" s="299" t="str">
        <x:v>Connectivity / Edge / IoT</x:v>
      </x:c>
      <x:c r="C152" s="300" t="str"/>
      <x:c r="D152" s="300" t="str"/>
      <x:c r="E152" s="300" t="str"/>
      <x:c r="F152" s="300" t="str"/>
      <x:c r="G152" s="300" t="str"/>
      <x:c r="H152" s="300" t="str">
        <x:v>IT</x:v>
      </x:c>
      <x:c r="I152" s="300" t="str"/>
      <x:c r="J152" s="300" t="str"/>
      <x:c r="K152" s="300" t="str"/>
      <x:c r="L152" s="300" t="str"/>
      <x:c r="M152" s="300" t="n">
        <x:f>COUNTIF(C152:L152,"IT")+COUNTIF(C152:L152,"PE")+COUNTIF(C152:L152,"TD")+COUNTIF(C152:L152,"SE")+COUNTIF(C152:L152,"PP")</x:f>
        <x:v>1</x:v>
      </x:c>
      <x:c r="N152" s="300" t="n">
        <x:f>IF(C152&lt;&gt;"",2016,IF(D152&lt;&gt;"",2017,IF(E152&lt;&gt;"",2018,IF(F152&lt;&gt;"",2019,IF(G152&lt;&gt;"",2020,IF(H152&lt;&gt;"",2021,IF(I152&lt;&gt;"",2022,IF(J152&lt;&gt;"",2023,IF(K152&lt;&gt;"",2024,IF(L152&lt;&gt;"",2025,""))))))))))</x:f>
        <x:v>2021</x:v>
      </x:c>
      <x:c r="O152" s="300" t="n">
        <x:f>IF(L152&lt;&gt;"",2025,IF(K152&lt;&gt;"",2024,IF(J152&lt;&gt;"",2023,IF(I152&lt;&gt;"",2022,IF(H152&lt;&gt;"",2021,IF(G152&lt;&gt;"",2020,IF(F152&lt;&gt;"",2019,IF(E152&lt;&gt;"",2018,IF(D152&lt;&gt;"",2017,IF(C152&lt;&gt;"",2016,""))))))))))</x:f>
        <x:v>2021</x:v>
      </x:c>
      <x:c r="P152" s="299" t="str">
        <x:v>Explicitly retired / no longer tracked by Gartner (2022)</x:v>
      </x:c>
      <x:c r="Q152" s="299" t="str">
        <x:v>Exited flagship / evolving</x:v>
      </x:c>
      <x:c r="R152" s="299" t="str">
        <x:v>The label left the flagship cycle; Gartner’s flagship is deliberately dynamic, so exit should not be read as failure without checking specialist Hype Cycles.</x:v>
      </x:c>
      <x:c r="S152" s="299" t="str"/>
      <x:c r="T152" s="300" t="str">
        <x:f>IFERROR(INDEX($C152:$L152,1,MATCH($N152,$C$4:$L$4,0)),"")</x:f>
        <x:v>IT</x:v>
      </x:c>
      <x:c r="U152" s="300" t="n">
        <x:f>IFERROR(VLOOKUP(T152,'Adoption Methodology'!$F$18:$G$22,2,FALSE),"")</x:f>
        <x:v>1</x:v>
      </x:c>
      <x:c r="V152" s="299" t="str">
        <x:f>IFERROR(VLOOKUP(U152,'Adoption Methodology'!$A$5:$C$10,3,FALSE),"")</x:f>
        <x:v>≈1–5% of relevant market; prototypes, pilots or very early deployments</x:v>
      </x:c>
      <x:c r="W152" s="300" t="n">
        <x:f>IFERROR(VLOOKUP(Q152,'Adoption Methodology'!$F$5:$H$12,2,FALSE),"")</x:f>
        <x:v>2</x:v>
      </x:c>
      <x:c r="X152" s="299" t="str">
        <x:f>IFERROR(VLOOKUP(W152,'Adoption Methodology'!$A$5:$C$10,3,FALSE),"")</x:f>
        <x:v>≈5–15% of relevant market; credible deployments but limited scale</x:v>
      </x:c>
      <x:c r="Y152" s="300" t="n">
        <x:f>IF(OR(U152="",W152=""),"",W152-U152)</x:f>
        <x:v>1</x:v>
      </x:c>
      <x:c r="Z152" s="299" t="str">
        <x:f>IF(Y152="","",IF(Y152&gt;0,"Adoption increased",IF(Y152=0,"Broadly unchanged","Adoption maturity lower")))</x:f>
        <x:v>Adoption increased</x:v>
      </x:c>
      <x:c r="AA152" s="300" t="str">
        <x:f>IFERROR(VLOOKUP(Q152,'Adoption Methodology'!$F$5:$H$12,3,FALSE),"Medium")</x:f>
        <x:v>Medium-Low</x:v>
      </x:c>
      <x:c r="AB152" s="299" t="str">
        <x:f>IFERROR(VLOOKUP(A152,'Adoption Methodology'!$K$5:$L$14,2,FALSE),IFERROR(VLOOKUP(B152,'Adoption Methodology'!$N$5:$O$16,2,FALSE),"https://www.gartner.com/en/information-technology/technology-adoption-roadmaps"))</x:f>
        <x:v>https://www.gsma.com/about-us/regions/europe/gsma_resources/the-mobile-economy-2026/</x:v>
      </x:c>
      <x:c r="AC152" s="299" t="str">
        <x:f>IF(R152="","Modelled adoption maturity; see Adoption Methodology.",R152&amp;"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53">
      <x:c r="A153" s="299" t="str">
        <x:v>Nanoscale 3D Printing</x:v>
      </x:c>
      <x:c r="B153" s="299" t="str">
        <x:v>Materials / Bio / Physical</x:v>
      </x:c>
      <x:c r="C153" s="300" t="str"/>
      <x:c r="D153" s="300" t="str"/>
      <x:c r="E153" s="300" t="str"/>
      <x:c r="F153" s="300" t="str">
        <x:v>IT</x:v>
      </x:c>
      <x:c r="G153" s="300" t="str"/>
      <x:c r="H153" s="300" t="str"/>
      <x:c r="I153" s="300" t="str"/>
      <x:c r="J153" s="300" t="str"/>
      <x:c r="K153" s="300" t="str"/>
      <x:c r="L153" s="300" t="str"/>
      <x:c r="M153" s="300" t="n">
        <x:f>COUNTIF(C153:L153,"IT")+COUNTIF(C153:L153,"PE")+COUNTIF(C153:L153,"TD")+COUNTIF(C153:L153,"SE")+COUNTIF(C153:L153,"PP")</x:f>
        <x:v>1</x:v>
      </x:c>
      <x:c r="N153" s="300" t="n">
        <x:f>IF(C153&lt;&gt;"",2016,IF(D153&lt;&gt;"",2017,IF(E153&lt;&gt;"",2018,IF(F153&lt;&gt;"",2019,IF(G153&lt;&gt;"",2020,IF(H153&lt;&gt;"",2021,IF(I153&lt;&gt;"",2022,IF(J153&lt;&gt;"",2023,IF(K153&lt;&gt;"",2024,IF(L153&lt;&gt;"",2025,""))))))))))</x:f>
        <x:v>2019</x:v>
      </x:c>
      <x:c r="O153" s="300" t="n">
        <x:f>IF(L153&lt;&gt;"",2025,IF(K153&lt;&gt;"",2024,IF(J153&lt;&gt;"",2023,IF(I153&lt;&gt;"",2022,IF(H153&lt;&gt;"",2021,IF(G153&lt;&gt;"",2020,IF(F153&lt;&gt;"",2019,IF(E153&lt;&gt;"",2018,IF(D153&lt;&gt;"",2017,IF(C153&lt;&gt;"",2016,""))))))))))</x:f>
        <x:v>2019</x:v>
      </x:c>
      <x:c r="P153" s="299" t="str">
        <x:v>Exited flagship; may continue on specialist Hype Cycles</x:v>
      </x:c>
      <x:c r="Q153" s="299" t="str">
        <x:v>Still emerging / long-horizon</x:v>
      </x:c>
      <x:c r="R153" s="299" t="str">
        <x:v>By 2026 the technology remains emerging, research-heavy or constrained by economics, engineering, regulation or deployment scale.</x:v>
      </x:c>
      <x:c r="S153" s="299" t="str"/>
      <x:c r="T153" s="300" t="str">
        <x:f>IFERROR(INDEX($C153:$L153,1,MATCH($N153,$C$4:$L$4,0)),"")</x:f>
        <x:v>IT</x:v>
      </x:c>
      <x:c r="U153" s="300" t="n">
        <x:f>IFERROR(VLOOKUP(T153,'Adoption Methodology'!$F$18:$G$22,2,FALSE),"")</x:f>
        <x:v>1</x:v>
      </x:c>
      <x:c r="V153" s="299" t="str">
        <x:f>IFERROR(VLOOKUP(U153,'Adoption Methodology'!$A$5:$C$10,3,FALSE),"")</x:f>
        <x:v>≈1–5% of relevant market; prototypes, pilots or very early deployments</x:v>
      </x:c>
      <x:c r="W153" s="300" t="n">
        <x:f>IFERROR(VLOOKUP(Q153,'Adoption Methodology'!$F$5:$H$12,2,FALSE),"")</x:f>
        <x:v>1</x:v>
      </x:c>
      <x:c r="X153" s="299" t="str">
        <x:f>IFERROR(VLOOKUP(W153,'Adoption Methodology'!$A$5:$C$10,3,FALSE),"")</x:f>
        <x:v>≈1–5% of relevant market; prototypes, pilots or very early deployments</x:v>
      </x:c>
      <x:c r="Y153" s="300" t="n">
        <x:f>IF(OR(U153="",W153=""),"",W153-U153)</x:f>
        <x:v>0</x:v>
      </x:c>
      <x:c r="Z153" s="299" t="str">
        <x:f>IF(Y153="","",IF(Y153&gt;0,"Adoption increased",IF(Y153=0,"Broadly unchanged","Adoption maturity lower")))</x:f>
      </x:c>
      <x:c r="AA153" s="300" t="str">
        <x:f>IFERROR(VLOOKUP(Q153,'Adoption Methodology'!$F$5:$H$12,3,FALSE),"Medium")</x:f>
        <x:v>Medium</x:v>
      </x:c>
      <x:c r="AB153" s="299" t="str">
        <x:f>IFERROR(VLOOKUP(A153,'Adoption Methodology'!$K$5:$L$14,2,FALSE),IFERROR(VLOOKUP(B153,'Adoption Methodology'!$N$5:$O$16,2,FALSE),"https://www.gartner.com/en/information-technology/technology-adoption-roadmaps"))</x:f>
        <x:v>https://www.gartner.com/en/information-technology/technology-adoption-roadmaps</x:v>
      </x:c>
      <x:c r="AC153" s="299" t="str">
        <x:f>IF(R153="","Modelled adoption maturity; see Adoption Methodology.",R153&amp;"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54">
      <x:c r="A154" s="299" t="str">
        <x:v>Nanotube Electronics</x:v>
      </x:c>
      <x:c r="B154" s="299" t="str">
        <x:v>Materials / Bio / Physical</x:v>
      </x:c>
      <x:c r="C154" s="300" t="str">
        <x:v>PE</x:v>
      </x:c>
      <x:c r="D154" s="300" t="str">
        <x:v>PE</x:v>
      </x:c>
      <x:c r="E154" s="300" t="str"/>
      <x:c r="F154" s="300" t="str"/>
      <x:c r="G154" s="300" t="str"/>
      <x:c r="H154" s="300" t="str"/>
      <x:c r="I154" s="300" t="str"/>
      <x:c r="J154" s="300" t="str"/>
      <x:c r="K154" s="300" t="str"/>
      <x:c r="L154" s="300" t="str"/>
      <x:c r="M154" s="300" t="n">
        <x:f>COUNTIF(C154:L154,"IT")+COUNTIF(C154:L154,"PE")+COUNTIF(C154:L154,"TD")+COUNTIF(C154:L154,"SE")+COUNTIF(C154:L154,"PP")</x:f>
        <x:v>2</x:v>
      </x:c>
      <x:c r="N154" s="300" t="n">
        <x:f>IF(C154&lt;&gt;"",2016,IF(D154&lt;&gt;"",2017,IF(E154&lt;&gt;"",2018,IF(F154&lt;&gt;"",2019,IF(G154&lt;&gt;"",2020,IF(H154&lt;&gt;"",2021,IF(I154&lt;&gt;"",2022,IF(J154&lt;&gt;"",2023,IF(K154&lt;&gt;"",2024,IF(L154&lt;&gt;"",2025,""))))))))))</x:f>
        <x:v>2016</x:v>
      </x:c>
      <x:c r="O154" s="300" t="n">
        <x:f>IF(L154&lt;&gt;"",2025,IF(K154&lt;&gt;"",2024,IF(J154&lt;&gt;"",2023,IF(I154&lt;&gt;"",2022,IF(H154&lt;&gt;"",2021,IF(G154&lt;&gt;"",2020,IF(F154&lt;&gt;"",2019,IF(E154&lt;&gt;"",2018,IF(D154&lt;&gt;"",2017,IF(C154&lt;&gt;"",2016,""))))))))))</x:f>
        <x:v>2017</x:v>
      </x:c>
      <x:c r="P154" s="299" t="str">
        <x:v>Exited flagship; may continue on specialist Hype Cycles</x:v>
      </x:c>
      <x:c r="Q154" s="299" t="str">
        <x:v>Still emerging / long-horizon</x:v>
      </x:c>
      <x:c r="R154" s="299" t="str">
        <x:v>By 2026 the technology remains emerging, research-heavy or constrained by economics, engineering, regulation or deployment scale.</x:v>
      </x:c>
      <x:c r="S154" s="299" t="str"/>
      <x:c r="T154" s="300" t="str">
        <x:f>IFERROR(INDEX($C154:$L154,1,MATCH($N154,$C$4:$L$4,0)),"")</x:f>
        <x:v>PE</x:v>
      </x:c>
      <x:c r="U154" s="300" t="n">
        <x:f>IFERROR(VLOOKUP(T154,'Adoption Methodology'!$F$18:$G$22,2,FALSE),"")</x:f>
        <x:v>2</x:v>
      </x:c>
      <x:c r="V154" s="299" t="str">
        <x:f>IFERROR(VLOOKUP(U154,'Adoption Methodology'!$A$5:$C$10,3,FALSE),"")</x:f>
        <x:v>≈5–15% of relevant market; credible deployments but limited scale</x:v>
      </x:c>
      <x:c r="W154" s="300" t="n">
        <x:f>IFERROR(VLOOKUP(Q154,'Adoption Methodology'!$F$5:$H$12,2,FALSE),"")</x:f>
        <x:v>1</x:v>
      </x:c>
      <x:c r="X154" s="299" t="str">
        <x:f>IFERROR(VLOOKUP(W154,'Adoption Methodology'!$A$5:$C$10,3,FALSE),"")</x:f>
        <x:v>≈1–5% of relevant market; prototypes, pilots or very early deployments</x:v>
      </x:c>
      <x:c r="Y154" s="300" t="n">
        <x:f>IF(OR(U154="",W154=""),"",W154-U154)</x:f>
        <x:v>-1</x:v>
      </x:c>
      <x:c r="Z154" s="299" t="str">
        <x:f>IF(Y154="","",IF(Y154&gt;0,"Adoption increased",IF(Y154=0,"Broadly unchanged","Adoption maturity lower")))</x:f>
        <x:v>Adoption maturity lower</x:v>
      </x:c>
      <x:c r="AA154" s="300" t="str">
        <x:f>IFERROR(VLOOKUP(Q154,'Adoption Methodology'!$F$5:$H$12,3,FALSE),"Medium")</x:f>
        <x:v>Medium</x:v>
      </x:c>
      <x:c r="AB154" s="299" t="str">
        <x:f>IFERROR(VLOOKUP(A154,'Adoption Methodology'!$K$5:$L$14,2,FALSE),IFERROR(VLOOKUP(B154,'Adoption Methodology'!$N$5:$O$16,2,FALSE),"https://www.gartner.com/en/information-technology/technology-adoption-roadmaps"))</x:f>
        <x:v>https://www.gartner.com/en/information-technology/technology-adoption-roadmaps</x:v>
      </x:c>
      <x:c r="AC154" s="299" t="str">
        <x:f>IF(R154="","Modelled adoption maturity; see Adoption Methodology.",R154&amp;"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55">
      <x:c r="A155" s="299" t="str">
        <x:v>Natural-Language Question Answering</x:v>
      </x:c>
      <x:c r="B155" s="299" t="str">
        <x:v>Business / Emerging Technology</x:v>
      </x:c>
      <x:c r="C155" s="300" t="str">
        <x:v>TD</x:v>
      </x:c>
      <x:c r="D155" s="300" t="str"/>
      <x:c r="E155" s="300" t="str"/>
      <x:c r="F155" s="300" t="str"/>
      <x:c r="G155" s="300" t="str"/>
      <x:c r="H155" s="300" t="str"/>
      <x:c r="I155" s="300" t="str"/>
      <x:c r="J155" s="300" t="str"/>
      <x:c r="K155" s="300" t="str"/>
      <x:c r="L155" s="300" t="str"/>
      <x:c r="M155" s="300" t="n">
        <x:f>COUNTIF(C155:L155,"IT")+COUNTIF(C155:L155,"PE")+COUNTIF(C155:L155,"TD")+COUNTIF(C155:L155,"SE")+COUNTIF(C155:L155,"PP")</x:f>
        <x:v>1</x:v>
      </x:c>
      <x:c r="N155" s="300" t="n">
        <x:f>IF(C155&lt;&gt;"",2016,IF(D155&lt;&gt;"",2017,IF(E155&lt;&gt;"",2018,IF(F155&lt;&gt;"",2019,IF(G155&lt;&gt;"",2020,IF(H155&lt;&gt;"",2021,IF(I155&lt;&gt;"",2022,IF(J155&lt;&gt;"",2023,IF(K155&lt;&gt;"",2024,IF(L155&lt;&gt;"",2025,""))))))))))</x:f>
        <x:v>2016</x:v>
      </x:c>
      <x:c r="O155" s="300" t="n">
        <x:f>IF(L155&lt;&gt;"",2025,IF(K155&lt;&gt;"",2024,IF(J155&lt;&gt;"",2023,IF(I155&lt;&gt;"",2022,IF(H155&lt;&gt;"",2021,IF(G155&lt;&gt;"",2020,IF(F155&lt;&gt;"",2019,IF(E155&lt;&gt;"",2018,IF(D155&lt;&gt;"",2017,IF(C155&lt;&gt;"",2016,""))))))))))</x:f>
        <x:v>2016</x:v>
      </x:c>
      <x:c r="P155" s="299" t="str">
        <x:v>Exited flagship; may continue on specialist Hype Cycles</x:v>
      </x:c>
      <x:c r="Q155" s="299" t="str">
        <x:v>Superseded / absorbed</x:v>
      </x:c>
      <x:c r="R155" s="299" t="str">
        <x:v>The concept largely survives inside broader platforms, successor terminology or more specific technology categories rather than as a standalone label.</x:v>
      </x:c>
      <x:c r="S155" s="299" t="str"/>
      <x:c r="T155" s="300" t="str">
        <x:f>IFERROR(INDEX($C155:$L155,1,MATCH($N155,$C$4:$L$4,0)),"")</x:f>
        <x:v>TD</x:v>
      </x:c>
      <x:c r="U155" s="300" t="n">
        <x:f>IFERROR(VLOOKUP(T155,'Adoption Methodology'!$F$18:$G$22,2,FALSE),"")</x:f>
        <x:v>2</x:v>
      </x:c>
      <x:c r="V155" s="299" t="str">
        <x:f>IFERROR(VLOOKUP(U155,'Adoption Methodology'!$A$5:$C$10,3,FALSE),"")</x:f>
        <x:v>≈5–15% of relevant market; credible deployments but limited scale</x:v>
      </x:c>
      <x:c r="W155" s="300" t="n">
        <x:f>IFERROR(VLOOKUP(Q155,'Adoption Methodology'!$F$5:$H$12,2,FALSE),"")</x:f>
        <x:v>3</x:v>
      </x:c>
      <x:c r="X155" s="299" t="str">
        <x:f>IFERROR(VLOOKUP(W155,'Adoption Methodology'!$A$5:$C$10,3,FALSE),"")</x:f>
        <x:v>≈15–35% of relevant market, or capability absorbed into successor platforms</x:v>
      </x:c>
      <x:c r="Y155" s="300" t="n">
        <x:f>IF(OR(U155="",W155=""),"",W155-U155)</x:f>
        <x:v>1</x:v>
      </x:c>
      <x:c r="Z155" s="299" t="str">
        <x:f>IF(Y155="","",IF(Y155&gt;0,"Adoption increased",IF(Y155=0,"Broadly unchanged","Adoption maturity lower")))</x:f>
        <x:v>Adoption increased</x:v>
      </x:c>
      <x:c r="AA155" s="300" t="str">
        <x:f>IFERROR(VLOOKUP(Q155,'Adoption Methodology'!$F$5:$H$12,3,FALSE),"Medium")</x:f>
        <x:v>Medium-Low</x:v>
      </x:c>
      <x:c r="AB155" s="299" t="str">
        <x:f>IFERROR(VLOOKUP(A155,'Adoption Methodology'!$K$5:$L$14,2,FALSE),IFERROR(VLOOKUP(B155,'Adoption Methodology'!$N$5:$O$16,2,FALSE),"https://www.gartner.com/en/information-technology/technology-adoption-roadmaps"))</x:f>
        <x:v>https://www.gartner.com/en/information-technology/technology-adoption-roadmaps</x:v>
      </x:c>
      <x:c r="AC155" s="299" t="str">
        <x:f>IF(R155="","Modelled adoption maturity; see Adoption Methodology.",R155&amp;"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56">
      <x:c r="A156" s="299" t="str">
        <x:v>Neuro-Symbolic AI</x:v>
      </x:c>
      <x:c r="B156" s="299" t="str">
        <x:v>AI / Data / Analytics</x:v>
      </x:c>
      <x:c r="C156" s="300" t="str"/>
      <x:c r="D156" s="300" t="str"/>
      <x:c r="E156" s="300" t="str"/>
      <x:c r="F156" s="300" t="str"/>
      <x:c r="G156" s="300" t="str"/>
      <x:c r="H156" s="300" t="str"/>
      <x:c r="I156" s="300" t="str"/>
      <x:c r="J156" s="300" t="str">
        <x:v>IT</x:v>
      </x:c>
      <x:c r="K156" s="300" t="str"/>
      <x:c r="L156" s="300" t="str"/>
      <x:c r="M156" s="300" t="n">
        <x:f>COUNTIF(C156:L156,"IT")+COUNTIF(C156:L156,"PE")+COUNTIF(C156:L156,"TD")+COUNTIF(C156:L156,"SE")+COUNTIF(C156:L156,"PP")</x:f>
        <x:v>1</x:v>
      </x:c>
      <x:c r="N156" s="300" t="n">
        <x:f>IF(C156&lt;&gt;"",2016,IF(D156&lt;&gt;"",2017,IF(E156&lt;&gt;"",2018,IF(F156&lt;&gt;"",2019,IF(G156&lt;&gt;"",2020,IF(H156&lt;&gt;"",2021,IF(I156&lt;&gt;"",2022,IF(J156&lt;&gt;"",2023,IF(K156&lt;&gt;"",2024,IF(L156&lt;&gt;"",2025,""))))))))))</x:f>
        <x:v>2023</x:v>
      </x:c>
      <x:c r="O156" s="300" t="n">
        <x:f>IF(L156&lt;&gt;"",2025,IF(K156&lt;&gt;"",2024,IF(J156&lt;&gt;"",2023,IF(I156&lt;&gt;"",2022,IF(H156&lt;&gt;"",2021,IF(G156&lt;&gt;"",2020,IF(F156&lt;&gt;"",2019,IF(E156&lt;&gt;"",2018,IF(D156&lt;&gt;"",2017,IF(C156&lt;&gt;"",2016,""))))))))))</x:f>
        <x:v>2023</x:v>
      </x:c>
      <x:c r="P156" s="299" t="str">
        <x:v>Exited flagship; may continue on specialist Hype Cycles</x:v>
      </x:c>
      <x:c r="Q156" s="299" t="str">
        <x:v>Exited flagship / evolving</x:v>
      </x:c>
      <x:c r="R156" s="299" t="str">
        <x:v>The label left the flagship cycle; Gartner’s flagship is deliberately dynamic, so exit should not be read as failure without checking specialist Hype Cycles.</x:v>
      </x:c>
      <x:c r="S156" s="299" t="str"/>
      <x:c r="T156" s="300" t="str">
        <x:f>IFERROR(INDEX($C156:$L156,1,MATCH($N156,$C$4:$L$4,0)),"")</x:f>
        <x:v>IT</x:v>
      </x:c>
      <x:c r="U156" s="300" t="n">
        <x:f>IFERROR(VLOOKUP(T156,'Adoption Methodology'!$F$18:$G$22,2,FALSE),"")</x:f>
        <x:v>1</x:v>
      </x:c>
      <x:c r="V156" s="299" t="str">
        <x:f>IFERROR(VLOOKUP(U156,'Adoption Methodology'!$A$5:$C$10,3,FALSE),"")</x:f>
        <x:v>≈1–5% of relevant market; prototypes, pilots or very early deployments</x:v>
      </x:c>
      <x:c r="W156" s="300" t="n">
        <x:f>IFERROR(VLOOKUP(Q156,'Adoption Methodology'!$F$5:$H$12,2,FALSE),"")</x:f>
        <x:v>2</x:v>
      </x:c>
      <x:c r="X156" s="299" t="str">
        <x:f>IFERROR(VLOOKUP(W156,'Adoption Methodology'!$A$5:$C$10,3,FALSE),"")</x:f>
        <x:v>≈5–15% of relevant market; credible deployments but limited scale</x:v>
      </x:c>
      <x:c r="Y156" s="300" t="n">
        <x:f>IF(OR(U156="",W156=""),"",W156-U156)</x:f>
        <x:v>1</x:v>
      </x:c>
      <x:c r="Z156" s="299" t="str">
        <x:f>IF(Y156="","",IF(Y156&gt;0,"Adoption increased",IF(Y156=0,"Broadly unchanged","Adoption maturity lower")))</x:f>
        <x:v>Adoption increased</x:v>
      </x:c>
      <x:c r="AA156" s="300" t="str">
        <x:f>IFERROR(VLOOKUP(Q156,'Adoption Methodology'!$F$5:$H$12,3,FALSE),"Medium")</x:f>
        <x:v>Medium-Low</x:v>
      </x:c>
      <x:c r="AB156" s="299" t="str">
        <x:f>IFERROR(VLOOKUP(A156,'Adoption Methodology'!$K$5:$L$14,2,FALSE),IFERROR(VLOOKUP(B156,'Adoption Methodology'!$N$5:$O$16,2,FALSE),"https://www.gartner.com/en/information-technology/technology-adoption-roadmaps"))</x:f>
        <x:v>https://www.mckinsey.com/capabilities/quantumblack/our-insights/the-state-of-ai</x:v>
      </x:c>
      <x:c r="AC156" s="299" t="str">
        <x:f>IF(R156="","Modelled adoption maturity; see Adoption Methodology.",R156&amp;"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57">
      <x:c r="A157" s="299" t="str">
        <x:v>Neuromorphic Hardware</x:v>
      </x:c>
      <x:c r="B157" s="299" t="str">
        <x:v>Advanced Computing</x:v>
      </x:c>
      <x:c r="C157" s="300" t="str">
        <x:v>IT</x:v>
      </x:c>
      <x:c r="D157" s="300" t="str">
        <x:v>IT</x:v>
      </x:c>
      <x:c r="E157" s="300" t="str">
        <x:v>IT</x:v>
      </x:c>
      <x:c r="F157" s="300" t="str"/>
      <x:c r="G157" s="300" t="str"/>
      <x:c r="H157" s="300" t="str"/>
      <x:c r="I157" s="300" t="str"/>
      <x:c r="J157" s="300" t="str"/>
      <x:c r="K157" s="300" t="str"/>
      <x:c r="L157" s="300" t="str"/>
      <x:c r="M157" s="300" t="n">
        <x:f>COUNTIF(C157:L157,"IT")+COUNTIF(C157:L157,"PE")+COUNTIF(C157:L157,"TD")+COUNTIF(C157:L157,"SE")+COUNTIF(C157:L157,"PP")</x:f>
        <x:v>3</x:v>
      </x:c>
      <x:c r="N157" s="300" t="n">
        <x:f>IF(C157&lt;&gt;"",2016,IF(D157&lt;&gt;"",2017,IF(E157&lt;&gt;"",2018,IF(F157&lt;&gt;"",2019,IF(G157&lt;&gt;"",2020,IF(H157&lt;&gt;"",2021,IF(I157&lt;&gt;"",2022,IF(J157&lt;&gt;"",2023,IF(K157&lt;&gt;"",2024,IF(L157&lt;&gt;"",2025,""))))))))))</x:f>
        <x:v>2016</x:v>
      </x:c>
      <x:c r="O157" s="300" t="n">
        <x:f>IF(L157&lt;&gt;"",2025,IF(K157&lt;&gt;"",2024,IF(J157&lt;&gt;"",2023,IF(I157&lt;&gt;"",2022,IF(H157&lt;&gt;"",2021,IF(G157&lt;&gt;"",2020,IF(F157&lt;&gt;"",2019,IF(E157&lt;&gt;"",2018,IF(D157&lt;&gt;"",2017,IF(C157&lt;&gt;"",2016,""))))))))))</x:f>
        <x:v>2018</x:v>
      </x:c>
      <x:c r="P157" s="299" t="str">
        <x:v>Exited flagship; may continue on specialist Hype Cycles</x:v>
      </x:c>
      <x:c r="Q157" s="299" t="str">
        <x:v>Still emerging / long-horizon</x:v>
      </x:c>
      <x:c r="R157" s="299" t="str">
        <x:v>By 2026 the technology remains emerging, research-heavy or constrained by economics, engineering, regulation or deployment scale.</x:v>
      </x:c>
      <x:c r="S157" s="299" t="str"/>
      <x:c r="T157" s="300" t="str">
        <x:f>IFERROR(INDEX($C157:$L157,1,MATCH($N157,$C$4:$L$4,0)),"")</x:f>
        <x:v>IT</x:v>
      </x:c>
      <x:c r="U157" s="300" t="n">
        <x:f>IFERROR(VLOOKUP(T157,'Adoption Methodology'!$F$18:$G$22,2,FALSE),"")</x:f>
        <x:v>1</x:v>
      </x:c>
      <x:c r="V157" s="299" t="str">
        <x:f>IFERROR(VLOOKUP(U157,'Adoption Methodology'!$A$5:$C$10,3,FALSE),"")</x:f>
        <x:v>≈1–5% of relevant market; prototypes, pilots or very early deployments</x:v>
      </x:c>
      <x:c r="W157" s="300" t="n">
        <x:f>IFERROR(VLOOKUP(Q157,'Adoption Methodology'!$F$5:$H$12,2,FALSE),"")</x:f>
        <x:v>1</x:v>
      </x:c>
      <x:c r="X157" s="299" t="str">
        <x:f>IFERROR(VLOOKUP(W157,'Adoption Methodology'!$A$5:$C$10,3,FALSE),"")</x:f>
        <x:v>≈1–5% of relevant market; prototypes, pilots or very early deployments</x:v>
      </x:c>
      <x:c r="Y157" s="300" t="n">
        <x:f>IF(OR(U157="",W157=""),"",W157-U157)</x:f>
        <x:v>0</x:v>
      </x:c>
      <x:c r="Z157" s="299" t="str">
        <x:f>IF(Y157="","",IF(Y157&gt;0,"Adoption increased",IF(Y157=0,"Broadly unchanged","Adoption maturity lower")))</x:f>
      </x:c>
      <x:c r="AA157" s="300" t="str">
        <x:f>IFERROR(VLOOKUP(Q157,'Adoption Methodology'!$F$5:$H$12,3,FALSE),"Medium")</x:f>
        <x:v>Medium</x:v>
      </x:c>
      <x:c r="AB157" s="299" t="str">
        <x:f>IFERROR(VLOOKUP(A157,'Adoption Methodology'!$K$5:$L$14,2,FALSE),IFERROR(VLOOKUP(B157,'Adoption Methodology'!$N$5:$O$16,2,FALSE),"https://www.gartner.com/en/information-technology/technology-adoption-roadmaps"))</x:f>
        <x:v>https://www.mckinsey.com/capabilities/tech-and-ai/our-insights/the-year-of-quantum-from-concept-to-reality-in-2025</x:v>
      </x:c>
      <x:c r="AC157" s="299" t="str">
        <x:f>IF(R157="","Modelled adoption maturity; see Adoption Methodology.",R157&amp;"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58">
      <x:c r="A158" s="299" t="str">
        <x:v>Next-Generation Memory</x:v>
      </x:c>
      <x:c r="B158" s="299" t="str">
        <x:v>Advanced Computing</x:v>
      </x:c>
      <x:c r="C158" s="300" t="str"/>
      <x:c r="D158" s="300" t="str"/>
      <x:c r="E158" s="300" t="str"/>
      <x:c r="F158" s="300" t="str">
        <x:v>TD</x:v>
      </x:c>
      <x:c r="G158" s="300" t="str"/>
      <x:c r="H158" s="300" t="str"/>
      <x:c r="I158" s="300" t="str"/>
      <x:c r="J158" s="300" t="str"/>
      <x:c r="K158" s="300" t="str"/>
      <x:c r="L158" s="300" t="str"/>
      <x:c r="M158" s="300" t="n">
        <x:f>COUNTIF(C158:L158,"IT")+COUNTIF(C158:L158,"PE")+COUNTIF(C158:L158,"TD")+COUNTIF(C158:L158,"SE")+COUNTIF(C158:L158,"PP")</x:f>
        <x:v>1</x:v>
      </x:c>
      <x:c r="N158" s="300" t="n">
        <x:f>IF(C158&lt;&gt;"",2016,IF(D158&lt;&gt;"",2017,IF(E158&lt;&gt;"",2018,IF(F158&lt;&gt;"",2019,IF(G158&lt;&gt;"",2020,IF(H158&lt;&gt;"",2021,IF(I158&lt;&gt;"",2022,IF(J158&lt;&gt;"",2023,IF(K158&lt;&gt;"",2024,IF(L158&lt;&gt;"",2025,""))))))))))</x:f>
        <x:v>2019</x:v>
      </x:c>
      <x:c r="O158" s="300" t="n">
        <x:f>IF(L158&lt;&gt;"",2025,IF(K158&lt;&gt;"",2024,IF(J158&lt;&gt;"",2023,IF(I158&lt;&gt;"",2022,IF(H158&lt;&gt;"",2021,IF(G158&lt;&gt;"",2020,IF(F158&lt;&gt;"",2019,IF(E158&lt;&gt;"",2018,IF(D158&lt;&gt;"",2017,IF(C158&lt;&gt;"",2016,""))))))))))</x:f>
        <x:v>2019</x:v>
      </x:c>
      <x:c r="P158" s="299" t="str">
        <x:v>Exited flagship; may continue on specialist Hype Cycles</x:v>
      </x:c>
      <x:c r="Q158" s="299" t="str">
        <x:v>Exited flagship / specialist</x:v>
      </x:c>
      <x:c r="R158" s="299" t="str">
        <x:v>The label left the flagship cycle and is now best viewed as specialist, absorbed into adjacent categories, or lower-profile rather than a simple success/failure.</x:v>
      </x:c>
      <x:c r="S158" s="299" t="str"/>
      <x:c r="T158" s="300" t="str">
        <x:f>IFERROR(INDEX($C158:$L158,1,MATCH($N158,$C$4:$L$4,0)),"")</x:f>
        <x:v>TD</x:v>
      </x:c>
      <x:c r="U158" s="300" t="n">
        <x:f>IFERROR(VLOOKUP(T158,'Adoption Methodology'!$F$18:$G$22,2,FALSE),"")</x:f>
        <x:v>2</x:v>
      </x:c>
      <x:c r="V158" s="299" t="str">
        <x:f>IFERROR(VLOOKUP(U158,'Adoption Methodology'!$A$5:$C$10,3,FALSE),"")</x:f>
        <x:v>≈5–15% of relevant market; credible deployments but limited scale</x:v>
      </x:c>
      <x:c r="W158" s="300" t="n">
        <x:f>IFERROR(VLOOKUP(Q158,'Adoption Methodology'!$F$5:$H$12,2,FALSE),"")</x:f>
        <x:v>3</x:v>
      </x:c>
      <x:c r="X158" s="299" t="str">
        <x:f>IFERROR(VLOOKUP(W158,'Adoption Methodology'!$A$5:$C$10,3,FALSE),"")</x:f>
        <x:v>≈15–35% of relevant market, or capability absorbed into successor platforms</x:v>
      </x:c>
      <x:c r="Y158" s="300" t="n">
        <x:f>IF(OR(U158="",W158=""),"",W158-U158)</x:f>
        <x:v>1</x:v>
      </x:c>
      <x:c r="Z158" s="299" t="str">
        <x:f>IF(Y158="","",IF(Y158&gt;0,"Adoption increased",IF(Y158=0,"Broadly unchanged","Adoption maturity lower")))</x:f>
        <x:v>Adoption increased</x:v>
      </x:c>
      <x:c r="AA158" s="300" t="str">
        <x:f>IFERROR(VLOOKUP(Q158,'Adoption Methodology'!$F$5:$H$12,3,FALSE),"Medium")</x:f>
        <x:v>Medium</x:v>
      </x:c>
      <x:c r="AB158" s="299" t="str">
        <x:f>IFERROR(VLOOKUP(A158,'Adoption Methodology'!$K$5:$L$14,2,FALSE),IFERROR(VLOOKUP(B158,'Adoption Methodology'!$N$5:$O$16,2,FALSE),"https://www.gartner.com/en/information-technology/technology-adoption-roadmaps"))</x:f>
        <x:v>https://www.mckinsey.com/capabilities/tech-and-ai/our-insights/the-year-of-quantum-from-concept-to-reality-in-2025</x:v>
      </x:c>
      <x:c r="AC158" s="299" t="str">
        <x:f>IF(R158="","Modelled adoption maturity; see Adoption Methodology.",R158&amp;"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59">
      <x:c r="A159" s="299" t="str">
        <x:v>Non-fungible Token (NFT)</x:v>
      </x:c>
      <x:c r="B159" s="299" t="str">
        <x:v>Blockchain / Digital Assets</x:v>
      </x:c>
      <x:c r="C159" s="300" t="str"/>
      <x:c r="D159" s="300" t="str"/>
      <x:c r="E159" s="300" t="str"/>
      <x:c r="F159" s="300" t="str"/>
      <x:c r="G159" s="300" t="str"/>
      <x:c r="H159" s="300" t="str"/>
      <x:c r="I159" s="300" t="str">
        <x:v>PE</x:v>
      </x:c>
      <x:c r="J159" s="300" t="str"/>
      <x:c r="K159" s="300" t="str"/>
      <x:c r="L159" s="300" t="str"/>
      <x:c r="M159" s="300" t="n">
        <x:f>COUNTIF(C159:L159,"IT")+COUNTIF(C159:L159,"PE")+COUNTIF(C159:L159,"TD")+COUNTIF(C159:L159,"SE")+COUNTIF(C159:L159,"PP")</x:f>
        <x:v>1</x:v>
      </x:c>
      <x:c r="N159" s="300" t="n">
        <x:f>IF(C159&lt;&gt;"",2016,IF(D159&lt;&gt;"",2017,IF(E159&lt;&gt;"",2018,IF(F159&lt;&gt;"",2019,IF(G159&lt;&gt;"",2020,IF(H159&lt;&gt;"",2021,IF(I159&lt;&gt;"",2022,IF(J159&lt;&gt;"",2023,IF(K159&lt;&gt;"",2024,IF(L159&lt;&gt;"",2025,""))))))))))</x:f>
        <x:v>2022</x:v>
      </x:c>
      <x:c r="O159" s="300" t="n">
        <x:f>IF(L159&lt;&gt;"",2025,IF(K159&lt;&gt;"",2024,IF(J159&lt;&gt;"",2023,IF(I159&lt;&gt;"",2022,IF(H159&lt;&gt;"",2021,IF(G159&lt;&gt;"",2020,IF(F159&lt;&gt;"",2019,IF(E159&lt;&gt;"",2018,IF(D159&lt;&gt;"",2017,IF(C159&lt;&gt;"",2016,""))))))))))</x:f>
        <x:v>2022</x:v>
      </x:c>
      <x:c r="P159" s="299" t="str">
        <x:v>Exited flagship; may continue on specialist Hype Cycles</x:v>
      </x:c>
      <x:c r="Q159" s="299" t="str">
        <x:v>Hype cooled / niche</x:v>
      </x:c>
      <x:c r="R159" s="299" t="str">
        <x:v>By 2026 the original hype has materially cooled; use persists in narrower or redefined applications rather than the broad promise implied at peak.</x:v>
      </x:c>
      <x:c r="S159" s="299" t="str">
        <x:v>Related wording: Nonfungible Tokens (NFT).</x:v>
      </x:c>
      <x:c r="T159" s="300" t="str">
        <x:f>IFERROR(INDEX($C159:$L159,1,MATCH($N159,$C$4:$L$4,0)),"")</x:f>
        <x:v>PE</x:v>
      </x:c>
      <x:c r="U159" s="300" t="n">
        <x:f>IFERROR(VLOOKUP(T159,'Adoption Methodology'!$F$18:$G$22,2,FALSE),"")</x:f>
        <x:v>2</x:v>
      </x:c>
      <x:c r="V159" s="299" t="str">
        <x:f>IFERROR(VLOOKUP(U159,'Adoption Methodology'!$A$5:$C$10,3,FALSE),"")</x:f>
        <x:v>≈5–15% of relevant market; credible deployments but limited scale</x:v>
      </x:c>
      <x:c r="W159" s="300" t="n">
        <x:f>IFERROR(VLOOKUP(Q159,'Adoption Methodology'!$F$5:$H$12,2,FALSE),"")</x:f>
        <x:v>2</x:v>
      </x:c>
      <x:c r="X159" s="299" t="str">
        <x:f>IFERROR(VLOOKUP(W159,'Adoption Methodology'!$A$5:$C$10,3,FALSE),"")</x:f>
        <x:v>≈5–15% of relevant market; credible deployments but limited scale</x:v>
      </x:c>
      <x:c r="Y159" s="300" t="n">
        <x:f>IF(OR(U159="",W159=""),"",W159-U159)</x:f>
        <x:v>0</x:v>
      </x:c>
      <x:c r="Z159" s="299" t="str">
        <x:f>IF(Y159="","",IF(Y159&gt;0,"Adoption increased",IF(Y159=0,"Broadly unchanged","Adoption maturity lower")))</x:f>
      </x:c>
      <x:c r="AA159" s="300" t="str">
        <x:f>IFERROR(VLOOKUP(Q159,'Adoption Methodology'!$F$5:$H$12,3,FALSE),"Medium")</x:f>
        <x:v>Medium</x:v>
      </x:c>
      <x:c r="AB159" s="299" t="str">
        <x:f>IFERROR(VLOOKUP(A159,'Adoption Methodology'!$K$5:$L$14,2,FALSE),IFERROR(VLOOKUP(B159,'Adoption Methodology'!$N$5:$O$16,2,FALSE),"https://www.gartner.com/en/information-technology/technology-adoption-roadmaps"))</x:f>
        <x:v>https://www.deloitte.com/us/en/insights/topics/business-strategy-growth/2q-2025-cfo-signals-survey.html</x:v>
      </x:c>
      <x:c r="AC159" s="299" t="str">
        <x:f>IF(R159="","Modelled adoption maturity; see Adoption Methodology.",R159&amp;"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60">
      <x:c r="A160" s="299" t="str">
        <x:v>Nonfungible Tokens (NFT)</x:v>
      </x:c>
      <x:c r="B160" s="299" t="str">
        <x:v>Blockchain / Digital Assets</x:v>
      </x:c>
      <x:c r="C160" s="300" t="str"/>
      <x:c r="D160" s="300" t="str"/>
      <x:c r="E160" s="300" t="str"/>
      <x:c r="F160" s="300" t="str"/>
      <x:c r="G160" s="300" t="str"/>
      <x:c r="H160" s="300" t="str">
        <x:v>PE</x:v>
      </x:c>
      <x:c r="I160" s="300" t="str"/>
      <x:c r="J160" s="300" t="str"/>
      <x:c r="K160" s="300" t="str"/>
      <x:c r="L160" s="300" t="str"/>
      <x:c r="M160" s="300" t="n">
        <x:f>COUNTIF(C160:L160,"IT")+COUNTIF(C160:L160,"PE")+COUNTIF(C160:L160,"TD")+COUNTIF(C160:L160,"SE")+COUNTIF(C160:L160,"PP")</x:f>
        <x:v>1</x:v>
      </x:c>
      <x:c r="N160" s="300" t="n">
        <x:f>IF(C160&lt;&gt;"",2016,IF(D160&lt;&gt;"",2017,IF(E160&lt;&gt;"",2018,IF(F160&lt;&gt;"",2019,IF(G160&lt;&gt;"",2020,IF(H160&lt;&gt;"",2021,IF(I160&lt;&gt;"",2022,IF(J160&lt;&gt;"",2023,IF(K160&lt;&gt;"",2024,IF(L160&lt;&gt;"",2025,""))))))))))</x:f>
        <x:v>2021</x:v>
      </x:c>
      <x:c r="O160" s="300" t="n">
        <x:f>IF(L160&lt;&gt;"",2025,IF(K160&lt;&gt;"",2024,IF(J160&lt;&gt;"",2023,IF(I160&lt;&gt;"",2022,IF(H160&lt;&gt;"",2021,IF(G160&lt;&gt;"",2020,IF(F160&lt;&gt;"",2019,IF(E160&lt;&gt;"",2018,IF(D160&lt;&gt;"",2017,IF(C160&lt;&gt;"",2016,""))))))))))</x:f>
        <x:v>2021</x:v>
      </x:c>
      <x:c r="P160" s="299" t="str">
        <x:v>Exited flagship; may continue on specialist Hype Cycles</x:v>
      </x:c>
      <x:c r="Q160" s="299" t="str">
        <x:v>Hype cooled / niche</x:v>
      </x:c>
      <x:c r="R160" s="299" t="str">
        <x:v>By 2026 the original hype has materially cooled; use persists in narrower or redefined applications rather than the broad promise implied at peak.</x:v>
      </x:c>
      <x:c r="S160" s="299" t="str">
        <x:v>Related wording: Non-fungible Token (NFT).</x:v>
      </x:c>
      <x:c r="T160" s="300" t="str">
        <x:f>IFERROR(INDEX($C160:$L160,1,MATCH($N160,$C$4:$L$4,0)),"")</x:f>
        <x:v>PE</x:v>
      </x:c>
      <x:c r="U160" s="300" t="n">
        <x:f>IFERROR(VLOOKUP(T160,'Adoption Methodology'!$F$18:$G$22,2,FALSE),"")</x:f>
        <x:v>2</x:v>
      </x:c>
      <x:c r="V160" s="299" t="str">
        <x:f>IFERROR(VLOOKUP(U160,'Adoption Methodology'!$A$5:$C$10,3,FALSE),"")</x:f>
        <x:v>≈5–15% of relevant market; credible deployments but limited scale</x:v>
      </x:c>
      <x:c r="W160" s="300" t="n">
        <x:f>IFERROR(VLOOKUP(Q160,'Adoption Methodology'!$F$5:$H$12,2,FALSE),"")</x:f>
        <x:v>2</x:v>
      </x:c>
      <x:c r="X160" s="299" t="str">
        <x:f>IFERROR(VLOOKUP(W160,'Adoption Methodology'!$A$5:$C$10,3,FALSE),"")</x:f>
        <x:v>≈5–15% of relevant market; credible deployments but limited scale</x:v>
      </x:c>
      <x:c r="Y160" s="300" t="n">
        <x:f>IF(OR(U160="",W160=""),"",W160-U160)</x:f>
        <x:v>0</x:v>
      </x:c>
      <x:c r="Z160" s="299" t="str">
        <x:f>IF(Y160="","",IF(Y160&gt;0,"Adoption increased",IF(Y160=0,"Broadly unchanged","Adoption maturity lower")))</x:f>
      </x:c>
      <x:c r="AA160" s="300" t="str">
        <x:f>IFERROR(VLOOKUP(Q160,'Adoption Methodology'!$F$5:$H$12,3,FALSE),"Medium")</x:f>
        <x:v>Medium</x:v>
      </x:c>
      <x:c r="AB160" s="299" t="str">
        <x:f>IFERROR(VLOOKUP(A160,'Adoption Methodology'!$K$5:$L$14,2,FALSE),IFERROR(VLOOKUP(B160,'Adoption Methodology'!$N$5:$O$16,2,FALSE),"https://www.gartner.com/en/information-technology/technology-adoption-roadmaps"))</x:f>
        <x:v>https://www.deloitte.com/us/en/insights/topics/business-strategy-growth/2q-2025-cfo-signals-survey.html</x:v>
      </x:c>
      <x:c r="AC160" s="299" t="str">
        <x:f>IF(R160="","Modelled adoption maturity; see Adoption Methodology.",R160&amp;"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61">
      <x:c r="A161" s="299" t="str">
        <x:v>Observability-Driven Development</x:v>
      </x:c>
      <x:c r="B161" s="299" t="str">
        <x:v>Cloud / Software Engineering</x:v>
      </x:c>
      <x:c r="C161" s="300" t="str"/>
      <x:c r="D161" s="300" t="str"/>
      <x:c r="E161" s="300" t="str"/>
      <x:c r="F161" s="300" t="str"/>
      <x:c r="G161" s="300" t="str"/>
      <x:c r="H161" s="300" t="str"/>
      <x:c r="I161" s="300" t="str">
        <x:v>IT</x:v>
      </x:c>
      <x:c r="J161" s="300" t="str"/>
      <x:c r="K161" s="300" t="str"/>
      <x:c r="L161" s="300" t="str"/>
      <x:c r="M161" s="300" t="n">
        <x:f>COUNTIF(C161:L161,"IT")+COUNTIF(C161:L161,"PE")+COUNTIF(C161:L161,"TD")+COUNTIF(C161:L161,"SE")+COUNTIF(C161:L161,"PP")</x:f>
        <x:v>1</x:v>
      </x:c>
      <x:c r="N161" s="300" t="n">
        <x:f>IF(C161&lt;&gt;"",2016,IF(D161&lt;&gt;"",2017,IF(E161&lt;&gt;"",2018,IF(F161&lt;&gt;"",2019,IF(G161&lt;&gt;"",2020,IF(H161&lt;&gt;"",2021,IF(I161&lt;&gt;"",2022,IF(J161&lt;&gt;"",2023,IF(K161&lt;&gt;"",2024,IF(L161&lt;&gt;"",2025,""))))))))))</x:f>
        <x:v>2022</x:v>
      </x:c>
      <x:c r="O161" s="300" t="n">
        <x:f>IF(L161&lt;&gt;"",2025,IF(K161&lt;&gt;"",2024,IF(J161&lt;&gt;"",2023,IF(I161&lt;&gt;"",2022,IF(H161&lt;&gt;"",2021,IF(G161&lt;&gt;"",2020,IF(F161&lt;&gt;"",2019,IF(E161&lt;&gt;"",2018,IF(D161&lt;&gt;"",2017,IF(C161&lt;&gt;"",2016,""))))))))))</x:f>
        <x:v>2022</x:v>
      </x:c>
      <x:c r="P161" s="299" t="str">
        <x:v>Exited flagship; may continue on specialist Hype Cycles</x:v>
      </x:c>
      <x:c r="Q161" s="299" t="str">
        <x:v>Established / specialist</x:v>
      </x:c>
      <x:c r="R161" s="299" t="str">
        <x:v>By 2026 there are credible production uses and vendors, but adoption is concentrated in particular workloads, industries or architectures rather than universal.</x:v>
      </x:c>
      <x:c r="S161" s="299" t="str"/>
      <x:c r="T161" s="300" t="str">
        <x:f>IFERROR(INDEX($C161:$L161,1,MATCH($N161,$C$4:$L$4,0)),"")</x:f>
        <x:v>IT</x:v>
      </x:c>
      <x:c r="U161" s="300" t="n">
        <x:f>IFERROR(VLOOKUP(T161,'Adoption Methodology'!$F$18:$G$22,2,FALSE),"")</x:f>
        <x:v>1</x:v>
      </x:c>
      <x:c r="V161" s="299" t="str">
        <x:f>IFERROR(VLOOKUP(U161,'Adoption Methodology'!$A$5:$C$10,3,FALSE),"")</x:f>
        <x:v>≈1–5% of relevant market; prototypes, pilots or very early deployments</x:v>
      </x:c>
      <x:c r="W161" s="300" t="n">
        <x:f>IFERROR(VLOOKUP(Q161,'Adoption Methodology'!$F$5:$H$12,2,FALSE),"")</x:f>
        <x:v>4</x:v>
      </x:c>
      <x:c r="X161" s="299" t="str">
        <x:f>IFERROR(VLOOKUP(W161,'Adoption Methodology'!$A$5:$C$10,3,FALSE),"")</x:f>
        <x:v>≈35–60% within the addressable segment; mature specialist use</x:v>
      </x:c>
      <x:c r="Y161" s="300" t="n">
        <x:f>IF(OR(U161="",W161=""),"",W161-U161)</x:f>
        <x:v>3</x:v>
      </x:c>
      <x:c r="Z161" s="299" t="str">
        <x:f>IF(Y161="","",IF(Y161&gt;0,"Adoption increased",IF(Y161=0,"Broadly unchanged","Adoption maturity lower")))</x:f>
        <x:v>Adoption increased</x:v>
      </x:c>
      <x:c r="AA161" s="300" t="str">
        <x:f>IFERROR(VLOOKUP(Q161,'Adoption Methodology'!$F$5:$H$12,3,FALSE),"Medium")</x:f>
        <x:v>High</x:v>
      </x:c>
      <x:c r="AB161" s="299" t="str">
        <x:f>IFERROR(VLOOKUP(A161,'Adoption Methodology'!$K$5:$L$14,2,FALSE),IFERROR(VLOOKUP(B161,'Adoption Methodology'!$N$5:$O$16,2,FALSE),"https://www.gartner.com/en/information-technology/technology-adoption-roadmaps"))</x:f>
        <x:v>https://www.cncf.io/reports/the-cncf-annual-cloud-native-survey/</x:v>
      </x:c>
      <x:c r="AC161" s="299" t="str">
        <x:f>IF(R161="","Modelled adoption maturity; see Adoption Methodology.",R161&amp;"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62">
      <x:c r="A162" s="299" t="str">
        <x:v>Ontologies and Graphs</x:v>
      </x:c>
      <x:c r="B162" s="299" t="str">
        <x:v>Business / Emerging Technology</x:v>
      </x:c>
      <x:c r="C162" s="300" t="str"/>
      <x:c r="D162" s="300" t="str"/>
      <x:c r="E162" s="300" t="str"/>
      <x:c r="F162" s="300" t="str"/>
      <x:c r="G162" s="300" t="str">
        <x:v>TD</x:v>
      </x:c>
      <x:c r="H162" s="300" t="str"/>
      <x:c r="I162" s="300" t="str"/>
      <x:c r="J162" s="300" t="str"/>
      <x:c r="K162" s="300" t="str"/>
      <x:c r="L162" s="300" t="str"/>
      <x:c r="M162" s="300" t="n">
        <x:f>COUNTIF(C162:L162,"IT")+COUNTIF(C162:L162,"PE")+COUNTIF(C162:L162,"TD")+COUNTIF(C162:L162,"SE")+COUNTIF(C162:L162,"PP")</x:f>
        <x:v>1</x:v>
      </x:c>
      <x:c r="N162" s="300" t="n">
        <x:f>IF(C162&lt;&gt;"",2016,IF(D162&lt;&gt;"",2017,IF(E162&lt;&gt;"",2018,IF(F162&lt;&gt;"",2019,IF(G162&lt;&gt;"",2020,IF(H162&lt;&gt;"",2021,IF(I162&lt;&gt;"",2022,IF(J162&lt;&gt;"",2023,IF(K162&lt;&gt;"",2024,IF(L162&lt;&gt;"",2025,""))))))))))</x:f>
        <x:v>2020</x:v>
      </x:c>
      <x:c r="O162" s="300" t="n">
        <x:f>IF(L162&lt;&gt;"",2025,IF(K162&lt;&gt;"",2024,IF(J162&lt;&gt;"",2023,IF(I162&lt;&gt;"",2022,IF(H162&lt;&gt;"",2021,IF(G162&lt;&gt;"",2020,IF(F162&lt;&gt;"",2019,IF(E162&lt;&gt;"",2018,IF(D162&lt;&gt;"",2017,IF(C162&lt;&gt;"",2016,""))))))))))</x:f>
        <x:v>2020</x:v>
      </x:c>
      <x:c r="P162" s="299" t="str">
        <x:v>Exited flagship; may continue on specialist Hype Cycles</x:v>
      </x:c>
      <x:c r="Q162" s="299" t="str">
        <x:v>Superseded / absorbed</x:v>
      </x:c>
      <x:c r="R162" s="299" t="str">
        <x:v>The concept largely survives inside broader platforms, successor terminology or more specific technology categories rather than as a standalone label.</x:v>
      </x:c>
      <x:c r="S162" s="299" t="str"/>
      <x:c r="T162" s="300" t="str">
        <x:f>IFERROR(INDEX($C162:$L162,1,MATCH($N162,$C$4:$L$4,0)),"")</x:f>
        <x:v>TD</x:v>
      </x:c>
      <x:c r="U162" s="300" t="n">
        <x:f>IFERROR(VLOOKUP(T162,'Adoption Methodology'!$F$18:$G$22,2,FALSE),"")</x:f>
        <x:v>2</x:v>
      </x:c>
      <x:c r="V162" s="299" t="str">
        <x:f>IFERROR(VLOOKUP(U162,'Adoption Methodology'!$A$5:$C$10,3,FALSE),"")</x:f>
        <x:v>≈5–15% of relevant market; credible deployments but limited scale</x:v>
      </x:c>
      <x:c r="W162" s="300" t="n">
        <x:f>IFERROR(VLOOKUP(Q162,'Adoption Methodology'!$F$5:$H$12,2,FALSE),"")</x:f>
        <x:v>3</x:v>
      </x:c>
      <x:c r="X162" s="299" t="str">
        <x:f>IFERROR(VLOOKUP(W162,'Adoption Methodology'!$A$5:$C$10,3,FALSE),"")</x:f>
        <x:v>≈15–35% of relevant market, or capability absorbed into successor platforms</x:v>
      </x:c>
      <x:c r="Y162" s="300" t="n">
        <x:f>IF(OR(U162="",W162=""),"",W162-U162)</x:f>
        <x:v>1</x:v>
      </x:c>
      <x:c r="Z162" s="299" t="str">
        <x:f>IF(Y162="","",IF(Y162&gt;0,"Adoption increased",IF(Y162=0,"Broadly unchanged","Adoption maturity lower")))</x:f>
        <x:v>Adoption increased</x:v>
      </x:c>
      <x:c r="AA162" s="300" t="str">
        <x:f>IFERROR(VLOOKUP(Q162,'Adoption Methodology'!$F$5:$H$12,3,FALSE),"Medium")</x:f>
        <x:v>Medium-Low</x:v>
      </x:c>
      <x:c r="AB162" s="299" t="str">
        <x:f>IFERROR(VLOOKUP(A162,'Adoption Methodology'!$K$5:$L$14,2,FALSE),IFERROR(VLOOKUP(B162,'Adoption Methodology'!$N$5:$O$16,2,FALSE),"https://www.gartner.com/en/information-technology/technology-adoption-roadmaps"))</x:f>
        <x:v>https://www.gartner.com/en/information-technology/technology-adoption-roadmaps</x:v>
      </x:c>
      <x:c r="AC162" s="299" t="str">
        <x:f>IF(R162="","Modelled adoption maturity; see Adoption Methodology.",R162&amp;"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63">
      <x:c r="A163" s="299" t="str">
        <x:v>Open-Source Program Office</x:v>
      </x:c>
      <x:c r="B163" s="299" t="str">
        <x:v>Business / Emerging Technology</x:v>
      </x:c>
      <x:c r="C163" s="300" t="str"/>
      <x:c r="D163" s="300" t="str"/>
      <x:c r="E163" s="300" t="str"/>
      <x:c r="F163" s="300" t="str"/>
      <x:c r="G163" s="300" t="str"/>
      <x:c r="H163" s="300" t="str"/>
      <x:c r="I163" s="300" t="str"/>
      <x:c r="J163" s="300" t="str">
        <x:v>PE</x:v>
      </x:c>
      <x:c r="K163" s="300" t="str"/>
      <x:c r="L163" s="300" t="str"/>
      <x:c r="M163" s="300" t="n">
        <x:f>COUNTIF(C163:L163,"IT")+COUNTIF(C163:L163,"PE")+COUNTIF(C163:L163,"TD")+COUNTIF(C163:L163,"SE")+COUNTIF(C163:L163,"PP")</x:f>
        <x:v>1</x:v>
      </x:c>
      <x:c r="N163" s="300" t="n">
        <x:f>IF(C163&lt;&gt;"",2016,IF(D163&lt;&gt;"",2017,IF(E163&lt;&gt;"",2018,IF(F163&lt;&gt;"",2019,IF(G163&lt;&gt;"",2020,IF(H163&lt;&gt;"",2021,IF(I163&lt;&gt;"",2022,IF(J163&lt;&gt;"",2023,IF(K163&lt;&gt;"",2024,IF(L163&lt;&gt;"",2025,""))))))))))</x:f>
        <x:v>2023</x:v>
      </x:c>
      <x:c r="O163" s="300" t="n">
        <x:f>IF(L163&lt;&gt;"",2025,IF(K163&lt;&gt;"",2024,IF(J163&lt;&gt;"",2023,IF(I163&lt;&gt;"",2022,IF(H163&lt;&gt;"",2021,IF(G163&lt;&gt;"",2020,IF(F163&lt;&gt;"",2019,IF(E163&lt;&gt;"",2018,IF(D163&lt;&gt;"",2017,IF(C163&lt;&gt;"",2016,""))))))))))</x:f>
        <x:v>2023</x:v>
      </x:c>
      <x:c r="P163" s="299" t="str">
        <x:v>Exited flagship; may continue on specialist Hype Cycles</x:v>
      </x:c>
      <x:c r="Q163" s="299" t="str">
        <x:v>Superseded / absorbed</x:v>
      </x:c>
      <x:c r="R163" s="299" t="str">
        <x:v>The concept largely survives inside broader platforms, successor terminology or more specific technology categories rather than as a standalone label.</x:v>
      </x:c>
      <x:c r="S163" s="299" t="str"/>
      <x:c r="T163" s="300" t="str">
        <x:f>IFERROR(INDEX($C163:$L163,1,MATCH($N163,$C$4:$L$4,0)),"")</x:f>
        <x:v>PE</x:v>
      </x:c>
      <x:c r="U163" s="300" t="n">
        <x:f>IFERROR(VLOOKUP(T163,'Adoption Methodology'!$F$18:$G$22,2,FALSE),"")</x:f>
        <x:v>2</x:v>
      </x:c>
      <x:c r="V163" s="299" t="str">
        <x:f>IFERROR(VLOOKUP(U163,'Adoption Methodology'!$A$5:$C$10,3,FALSE),"")</x:f>
        <x:v>≈5–15% of relevant market; credible deployments but limited scale</x:v>
      </x:c>
      <x:c r="W163" s="300" t="n">
        <x:f>IFERROR(VLOOKUP(Q163,'Adoption Methodology'!$F$5:$H$12,2,FALSE),"")</x:f>
        <x:v>3</x:v>
      </x:c>
      <x:c r="X163" s="299" t="str">
        <x:f>IFERROR(VLOOKUP(W163,'Adoption Methodology'!$A$5:$C$10,3,FALSE),"")</x:f>
        <x:v>≈15–35% of relevant market, or capability absorbed into successor platforms</x:v>
      </x:c>
      <x:c r="Y163" s="300" t="n">
        <x:f>IF(OR(U163="",W163=""),"",W163-U163)</x:f>
        <x:v>1</x:v>
      </x:c>
      <x:c r="Z163" s="299" t="str">
        <x:f>IF(Y163="","",IF(Y163&gt;0,"Adoption increased",IF(Y163=0,"Broadly unchanged","Adoption maturity lower")))</x:f>
        <x:v>Adoption increased</x:v>
      </x:c>
      <x:c r="AA163" s="300" t="str">
        <x:f>IFERROR(VLOOKUP(Q163,'Adoption Methodology'!$F$5:$H$12,3,FALSE),"Medium")</x:f>
        <x:v>Medium-Low</x:v>
      </x:c>
      <x:c r="AB163" s="299" t="str">
        <x:f>IFERROR(VLOOKUP(A163,'Adoption Methodology'!$K$5:$L$14,2,FALSE),IFERROR(VLOOKUP(B163,'Adoption Methodology'!$N$5:$O$16,2,FALSE),"https://www.gartner.com/en/information-technology/technology-adoption-roadmaps"))</x:f>
        <x:v>https://www.gartner.com/en/information-technology/technology-adoption-roadmaps</x:v>
      </x:c>
      <x:c r="AC163" s="299" t="str">
        <x:f>IF(R163="","Modelled adoption maturity; see Adoption Methodology.",R163&amp;"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64">
      <x:c r="A164" s="299" t="str">
        <x:v>OpenTelemetry</x:v>
      </x:c>
      <x:c r="B164" s="299" t="str">
        <x:v>Cloud / Software Engineering</x:v>
      </x:c>
      <x:c r="C164" s="300" t="str"/>
      <x:c r="D164" s="300" t="str"/>
      <x:c r="E164" s="300" t="str"/>
      <x:c r="F164" s="300" t="str"/>
      <x:c r="G164" s="300" t="str"/>
      <x:c r="H164" s="300" t="str"/>
      <x:c r="I164" s="300" t="str">
        <x:v>IT</x:v>
      </x:c>
      <x:c r="J164" s="300" t="str"/>
      <x:c r="K164" s="300" t="str"/>
      <x:c r="L164" s="300" t="str"/>
      <x:c r="M164" s="300" t="n">
        <x:f>COUNTIF(C164:L164,"IT")+COUNTIF(C164:L164,"PE")+COUNTIF(C164:L164,"TD")+COUNTIF(C164:L164,"SE")+COUNTIF(C164:L164,"PP")</x:f>
        <x:v>1</x:v>
      </x:c>
      <x:c r="N164" s="300" t="n">
        <x:f>IF(C164&lt;&gt;"",2016,IF(D164&lt;&gt;"",2017,IF(E164&lt;&gt;"",2018,IF(F164&lt;&gt;"",2019,IF(G164&lt;&gt;"",2020,IF(H164&lt;&gt;"",2021,IF(I164&lt;&gt;"",2022,IF(J164&lt;&gt;"",2023,IF(K164&lt;&gt;"",2024,IF(L164&lt;&gt;"",2025,""))))))))))</x:f>
        <x:v>2022</x:v>
      </x:c>
      <x:c r="O164" s="300" t="n">
        <x:f>IF(L164&lt;&gt;"",2025,IF(K164&lt;&gt;"",2024,IF(J164&lt;&gt;"",2023,IF(I164&lt;&gt;"",2022,IF(H164&lt;&gt;"",2021,IF(G164&lt;&gt;"",2020,IF(F164&lt;&gt;"",2019,IF(E164&lt;&gt;"",2018,IF(D164&lt;&gt;"",2017,IF(C164&lt;&gt;"",2016,""))))))))))</x:f>
        <x:v>2022</x:v>
      </x:c>
      <x:c r="P164" s="299" t="str">
        <x:v>Exited flagship; may continue on specialist Hype Cycles</x:v>
      </x:c>
      <x:c r="Q164" s="299" t="str">
        <x:v>Established / mainstream</x:v>
      </x:c>
      <x:c r="R164" s="299" t="str">
        <x:v>By 2026 this capability is commercially established or embedded in mainstream enterprise/consumer technology, even if the original Gartner label is no longer prominent.</x:v>
      </x:c>
      <x:c r="S164" s="299" t="str"/>
      <x:c r="T164" s="300" t="str">
        <x:f>IFERROR(INDEX($C164:$L164,1,MATCH($N164,$C$4:$L$4,0)),"")</x:f>
        <x:v>IT</x:v>
      </x:c>
      <x:c r="U164" s="300" t="n">
        <x:f>IFERROR(VLOOKUP(T164,'Adoption Methodology'!$F$18:$G$22,2,FALSE),"")</x:f>
        <x:v>1</x:v>
      </x:c>
      <x:c r="V164" s="299" t="str">
        <x:f>IFERROR(VLOOKUP(U164,'Adoption Methodology'!$A$5:$C$10,3,FALSE),"")</x:f>
        <x:v>≈1–5% of relevant market; prototypes, pilots or very early deployments</x:v>
      </x:c>
      <x:c r="W164" s="300" t="n">
        <x:f>IFERROR(VLOOKUP(Q164,'Adoption Methodology'!$F$5:$H$12,2,FALSE),"")</x:f>
        <x:v>5</x:v>
      </x:c>
      <x:c r="X164" s="299" t="str">
        <x:f>IFERROR(VLOOKUP(W164,'Adoption Methodology'!$A$5:$C$10,3,FALSE),"")</x:f>
        <x:v>&gt;60% in leading/addressable segments, or effectively a standard/default capability</x:v>
      </x:c>
      <x:c r="Y164" s="300" t="n">
        <x:f>IF(OR(U164="",W164=""),"",W164-U164)</x:f>
        <x:v>4</x:v>
      </x:c>
      <x:c r="Z164" s="299" t="str">
        <x:f>IF(Y164="","",IF(Y164&gt;0,"Adoption increased",IF(Y164=0,"Broadly unchanged","Adoption maturity lower")))</x:f>
        <x:v>Adoption increased</x:v>
      </x:c>
      <x:c r="AA164" s="300" t="str">
        <x:f>IFERROR(VLOOKUP(Q164,'Adoption Methodology'!$F$5:$H$12,3,FALSE),"Medium")</x:f>
        <x:v>High</x:v>
      </x:c>
      <x:c r="AB164" s="299" t="str">
        <x:f>IFERROR(VLOOKUP(A164,'Adoption Methodology'!$K$5:$L$14,2,FALSE),IFERROR(VLOOKUP(B164,'Adoption Methodology'!$N$5:$O$16,2,FALSE),"https://www.gartner.com/en/information-technology/technology-adoption-roadmaps"))</x:f>
        <x:v>https://www.cncf.io/reports/the-cncf-annual-cloud-native-survey/</x:v>
      </x:c>
      <x:c r="AC164" s="299" t="str">
        <x:f>IF(R164="","Modelled adoption maturity; see Adoption Methodology.",R164&amp;"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65">
      <x:c r="A165" s="299" t="str">
        <x:v>Packaged Business Capabilities</x:v>
      </x:c>
      <x:c r="B165" s="299" t="str">
        <x:v>Business / Emerging Technology</x:v>
      </x:c>
      <x:c r="C165" s="300" t="str"/>
      <x:c r="D165" s="300" t="str"/>
      <x:c r="E165" s="300" t="str"/>
      <x:c r="F165" s="300" t="str"/>
      <x:c r="G165" s="300" t="str">
        <x:v>IT</x:v>
      </x:c>
      <x:c r="H165" s="300" t="str"/>
      <x:c r="I165" s="300" t="str"/>
      <x:c r="J165" s="300" t="str"/>
      <x:c r="K165" s="300" t="str"/>
      <x:c r="L165" s="300" t="str"/>
      <x:c r="M165" s="300" t="n">
        <x:f>COUNTIF(C165:L165,"IT")+COUNTIF(C165:L165,"PE")+COUNTIF(C165:L165,"TD")+COUNTIF(C165:L165,"SE")+COUNTIF(C165:L165,"PP")</x:f>
        <x:v>1</x:v>
      </x:c>
      <x:c r="N165" s="300" t="n">
        <x:f>IF(C165&lt;&gt;"",2016,IF(D165&lt;&gt;"",2017,IF(E165&lt;&gt;"",2018,IF(F165&lt;&gt;"",2019,IF(G165&lt;&gt;"",2020,IF(H165&lt;&gt;"",2021,IF(I165&lt;&gt;"",2022,IF(J165&lt;&gt;"",2023,IF(K165&lt;&gt;"",2024,IF(L165&lt;&gt;"",2025,""))))))))))</x:f>
        <x:v>2020</x:v>
      </x:c>
      <x:c r="O165" s="300" t="n">
        <x:f>IF(L165&lt;&gt;"",2025,IF(K165&lt;&gt;"",2024,IF(J165&lt;&gt;"",2023,IF(I165&lt;&gt;"",2022,IF(H165&lt;&gt;"",2021,IF(G165&lt;&gt;"",2020,IF(F165&lt;&gt;"",2019,IF(E165&lt;&gt;"",2018,IF(D165&lt;&gt;"",2017,IF(C165&lt;&gt;"",2016,""))))))))))</x:f>
        <x:v>2020</x:v>
      </x:c>
      <x:c r="P165" s="299" t="str">
        <x:v>Exited flagship; may continue on specialist Hype Cycles</x:v>
      </x:c>
      <x:c r="Q165" s="299" t="str">
        <x:v>Established / specialist</x:v>
      </x:c>
      <x:c r="R165" s="299" t="str">
        <x:v>By 2026 there are credible production uses and vendors, but adoption is concentrated in particular workloads, industries or architectures rather than universal.</x:v>
      </x:c>
      <x:c r="S165" s="299" t="str"/>
      <x:c r="T165" s="300" t="str">
        <x:f>IFERROR(INDEX($C165:$L165,1,MATCH($N165,$C$4:$L$4,0)),"")</x:f>
        <x:v>IT</x:v>
      </x:c>
      <x:c r="U165" s="300" t="n">
        <x:f>IFERROR(VLOOKUP(T165,'Adoption Methodology'!$F$18:$G$22,2,FALSE),"")</x:f>
        <x:v>1</x:v>
      </x:c>
      <x:c r="V165" s="299" t="str">
        <x:f>IFERROR(VLOOKUP(U165,'Adoption Methodology'!$A$5:$C$10,3,FALSE),"")</x:f>
        <x:v>≈1–5% of relevant market; prototypes, pilots or very early deployments</x:v>
      </x:c>
      <x:c r="W165" s="300" t="n">
        <x:f>IFERROR(VLOOKUP(Q165,'Adoption Methodology'!$F$5:$H$12,2,FALSE),"")</x:f>
        <x:v>4</x:v>
      </x:c>
      <x:c r="X165" s="299" t="str">
        <x:f>IFERROR(VLOOKUP(W165,'Adoption Methodology'!$A$5:$C$10,3,FALSE),"")</x:f>
        <x:v>≈35–60% within the addressable segment; mature specialist use</x:v>
      </x:c>
      <x:c r="Y165" s="300" t="n">
        <x:f>IF(OR(U165="",W165=""),"",W165-U165)</x:f>
        <x:v>3</x:v>
      </x:c>
      <x:c r="Z165" s="299" t="str">
        <x:f>IF(Y165="","",IF(Y165&gt;0,"Adoption increased",IF(Y165=0,"Broadly unchanged","Adoption maturity lower")))</x:f>
        <x:v>Adoption increased</x:v>
      </x:c>
      <x:c r="AA165" s="300" t="str">
        <x:f>IFERROR(VLOOKUP(Q165,'Adoption Methodology'!$F$5:$H$12,3,FALSE),"Medium")</x:f>
        <x:v>High</x:v>
      </x:c>
      <x:c r="AB165" s="299" t="str">
        <x:f>IFERROR(VLOOKUP(A165,'Adoption Methodology'!$K$5:$L$14,2,FALSE),IFERROR(VLOOKUP(B165,'Adoption Methodology'!$N$5:$O$16,2,FALSE),"https://www.gartner.com/en/information-technology/technology-adoption-roadmaps"))</x:f>
        <x:v>https://www.gartner.com/en/information-technology/technology-adoption-roadmaps</x:v>
      </x:c>
      <x:c r="AC165" s="299" t="str">
        <x:f>IF(R165="","Modelled adoption maturity; see Adoption Methodology.",R165&amp;"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66">
      <x:c r="A166" s="299" t="str">
        <x:v>Personal Analytics</x:v>
      </x:c>
      <x:c r="B166" s="299" t="str">
        <x:v>Business / Emerging Technology</x:v>
      </x:c>
      <x:c r="C166" s="300" t="str">
        <x:v>IT</x:v>
      </x:c>
      <x:c r="D166" s="300" t="str"/>
      <x:c r="E166" s="300" t="str"/>
      <x:c r="F166" s="300" t="str"/>
      <x:c r="G166" s="300" t="str"/>
      <x:c r="H166" s="300" t="str"/>
      <x:c r="I166" s="300" t="str"/>
      <x:c r="J166" s="300" t="str"/>
      <x:c r="K166" s="300" t="str"/>
      <x:c r="L166" s="300" t="str"/>
      <x:c r="M166" s="300" t="n">
        <x:f>COUNTIF(C166:L166,"IT")+COUNTIF(C166:L166,"PE")+COUNTIF(C166:L166,"TD")+COUNTIF(C166:L166,"SE")+COUNTIF(C166:L166,"PP")</x:f>
        <x:v>1</x:v>
      </x:c>
      <x:c r="N166" s="300" t="n">
        <x:f>IF(C166&lt;&gt;"",2016,IF(D166&lt;&gt;"",2017,IF(E166&lt;&gt;"",2018,IF(F166&lt;&gt;"",2019,IF(G166&lt;&gt;"",2020,IF(H166&lt;&gt;"",2021,IF(I166&lt;&gt;"",2022,IF(J166&lt;&gt;"",2023,IF(K166&lt;&gt;"",2024,IF(L166&lt;&gt;"",2025,""))))))))))</x:f>
        <x:v>2016</x:v>
      </x:c>
      <x:c r="O166" s="300" t="n">
        <x:f>IF(L166&lt;&gt;"",2025,IF(K166&lt;&gt;"",2024,IF(J166&lt;&gt;"",2023,IF(I166&lt;&gt;"",2022,IF(H166&lt;&gt;"",2021,IF(G166&lt;&gt;"",2020,IF(F166&lt;&gt;"",2019,IF(E166&lt;&gt;"",2018,IF(D166&lt;&gt;"",2017,IF(C166&lt;&gt;"",2016,""))))))))))</x:f>
        <x:v>2016</x:v>
      </x:c>
      <x:c r="P166" s="299" t="str">
        <x:v>Exited flagship; may continue on specialist Hype Cycles</x:v>
      </x:c>
      <x:c r="Q166" s="299" t="str">
        <x:v>Exited flagship / specialist</x:v>
      </x:c>
      <x:c r="R166" s="299" t="str">
        <x:v>The label left the flagship cycle and is now best viewed as specialist, absorbed into adjacent categories, or lower-profile rather than a simple success/failure.</x:v>
      </x:c>
      <x:c r="S166" s="299" t="str"/>
      <x:c r="T166" s="300" t="str">
        <x:f>IFERROR(INDEX($C166:$L166,1,MATCH($N166,$C$4:$L$4,0)),"")</x:f>
        <x:v>IT</x:v>
      </x:c>
      <x:c r="U166" s="300" t="n">
        <x:f>IFERROR(VLOOKUP(T166,'Adoption Methodology'!$F$18:$G$22,2,FALSE),"")</x:f>
        <x:v>1</x:v>
      </x:c>
      <x:c r="V166" s="299" t="str">
        <x:f>IFERROR(VLOOKUP(U166,'Adoption Methodology'!$A$5:$C$10,3,FALSE),"")</x:f>
        <x:v>≈1–5% of relevant market; prototypes, pilots or very early deployments</x:v>
      </x:c>
      <x:c r="W166" s="300" t="n">
        <x:f>IFERROR(VLOOKUP(Q166,'Adoption Methodology'!$F$5:$H$12,2,FALSE),"")</x:f>
        <x:v>3</x:v>
      </x:c>
      <x:c r="X166" s="299" t="str">
        <x:f>IFERROR(VLOOKUP(W166,'Adoption Methodology'!$A$5:$C$10,3,FALSE),"")</x:f>
        <x:v>≈15–35% of relevant market, or capability absorbed into successor platforms</x:v>
      </x:c>
      <x:c r="Y166" s="300" t="n">
        <x:f>IF(OR(U166="",W166=""),"",W166-U166)</x:f>
        <x:v>2</x:v>
      </x:c>
      <x:c r="Z166" s="299" t="str">
        <x:f>IF(Y166="","",IF(Y166&gt;0,"Adoption increased",IF(Y166=0,"Broadly unchanged","Adoption maturity lower")))</x:f>
        <x:v>Adoption increased</x:v>
      </x:c>
      <x:c r="AA166" s="300" t="str">
        <x:f>IFERROR(VLOOKUP(Q166,'Adoption Methodology'!$F$5:$H$12,3,FALSE),"Medium")</x:f>
        <x:v>Medium</x:v>
      </x:c>
      <x:c r="AB166" s="299" t="str">
        <x:f>IFERROR(VLOOKUP(A166,'Adoption Methodology'!$K$5:$L$14,2,FALSE),IFERROR(VLOOKUP(B166,'Adoption Methodology'!$N$5:$O$16,2,FALSE),"https://www.gartner.com/en/information-technology/technology-adoption-roadmaps"))</x:f>
        <x:v>https://www.gartner.com/en/information-technology/technology-adoption-roadmaps</x:v>
      </x:c>
      <x:c r="AC166" s="299" t="str">
        <x:f>IF(R166="","Modelled adoption maturity; see Adoption Methodology.",R166&amp;"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67">
      <x:c r="A167" s="299" t="str">
        <x:v>Personification</x:v>
      </x:c>
      <x:c r="B167" s="299" t="str">
        <x:v>Business / Emerging Technology</x:v>
      </x:c>
      <x:c r="C167" s="300" t="str"/>
      <x:c r="D167" s="300" t="str"/>
      <x:c r="E167" s="300" t="str"/>
      <x:c r="F167" s="300" t="str">
        <x:v>IT</x:v>
      </x:c>
      <x:c r="G167" s="300" t="str"/>
      <x:c r="H167" s="300" t="str"/>
      <x:c r="I167" s="300" t="str"/>
      <x:c r="J167" s="300" t="str"/>
      <x:c r="K167" s="300" t="str"/>
      <x:c r="L167" s="300" t="str"/>
      <x:c r="M167" s="300" t="n">
        <x:f>COUNTIF(C167:L167,"IT")+COUNTIF(C167:L167,"PE")+COUNTIF(C167:L167,"TD")+COUNTIF(C167:L167,"SE")+COUNTIF(C167:L167,"PP")</x:f>
        <x:v>1</x:v>
      </x:c>
      <x:c r="N167" s="300" t="n">
        <x:f>IF(C167&lt;&gt;"",2016,IF(D167&lt;&gt;"",2017,IF(E167&lt;&gt;"",2018,IF(F167&lt;&gt;"",2019,IF(G167&lt;&gt;"",2020,IF(H167&lt;&gt;"",2021,IF(I167&lt;&gt;"",2022,IF(J167&lt;&gt;"",2023,IF(K167&lt;&gt;"",2024,IF(L167&lt;&gt;"",2025,""))))))))))</x:f>
        <x:v>2019</x:v>
      </x:c>
      <x:c r="O167" s="300" t="n">
        <x:f>IF(L167&lt;&gt;"",2025,IF(K167&lt;&gt;"",2024,IF(J167&lt;&gt;"",2023,IF(I167&lt;&gt;"",2022,IF(H167&lt;&gt;"",2021,IF(G167&lt;&gt;"",2020,IF(F167&lt;&gt;"",2019,IF(E167&lt;&gt;"",2018,IF(D167&lt;&gt;"",2017,IF(C167&lt;&gt;"",2016,""))))))))))</x:f>
        <x:v>2019</x:v>
      </x:c>
      <x:c r="P167" s="299" t="str">
        <x:v>Exited flagship; may continue on specialist Hype Cycles</x:v>
      </x:c>
      <x:c r="Q167" s="299" t="str">
        <x:v>Hype cooled / niche</x:v>
      </x:c>
      <x:c r="R167" s="299" t="str">
        <x:v>By 2026 the original hype has materially cooled; use persists in narrower or redefined applications rather than the broad promise implied at peak.</x:v>
      </x:c>
      <x:c r="S167" s="299" t="str"/>
      <x:c r="T167" s="300" t="str">
        <x:f>IFERROR(INDEX($C167:$L167,1,MATCH($N167,$C$4:$L$4,0)),"")</x:f>
        <x:v>IT</x:v>
      </x:c>
      <x:c r="U167" s="300" t="n">
        <x:f>IFERROR(VLOOKUP(T167,'Adoption Methodology'!$F$18:$G$22,2,FALSE),"")</x:f>
        <x:v>1</x:v>
      </x:c>
      <x:c r="V167" s="299" t="str">
        <x:f>IFERROR(VLOOKUP(U167,'Adoption Methodology'!$A$5:$C$10,3,FALSE),"")</x:f>
        <x:v>≈1–5% of relevant market; prototypes, pilots or very early deployments</x:v>
      </x:c>
      <x:c r="W167" s="300" t="n">
        <x:f>IFERROR(VLOOKUP(Q167,'Adoption Methodology'!$F$5:$H$12,2,FALSE),"")</x:f>
        <x:v>2</x:v>
      </x:c>
      <x:c r="X167" s="299" t="str">
        <x:f>IFERROR(VLOOKUP(W167,'Adoption Methodology'!$A$5:$C$10,3,FALSE),"")</x:f>
        <x:v>≈5–15% of relevant market; credible deployments but limited scale</x:v>
      </x:c>
      <x:c r="Y167" s="300" t="n">
        <x:f>IF(OR(U167="",W167=""),"",W167-U167)</x:f>
        <x:v>1</x:v>
      </x:c>
      <x:c r="Z167" s="299" t="str">
        <x:f>IF(Y167="","",IF(Y167&gt;0,"Adoption increased",IF(Y167=0,"Broadly unchanged","Adoption maturity lower")))</x:f>
        <x:v>Adoption increased</x:v>
      </x:c>
      <x:c r="AA167" s="300" t="str">
        <x:f>IFERROR(VLOOKUP(Q167,'Adoption Methodology'!$F$5:$H$12,3,FALSE),"Medium")</x:f>
        <x:v>Medium</x:v>
      </x:c>
      <x:c r="AB167" s="299" t="str">
        <x:f>IFERROR(VLOOKUP(A167,'Adoption Methodology'!$K$5:$L$14,2,FALSE),IFERROR(VLOOKUP(B167,'Adoption Methodology'!$N$5:$O$16,2,FALSE),"https://www.gartner.com/en/information-technology/technology-adoption-roadmaps"))</x:f>
        <x:v>https://www.gartner.com/en/information-technology/technology-adoption-roadmaps</x:v>
      </x:c>
      <x:c r="AC167" s="299" t="str">
        <x:f>IF(R167="","Modelled adoption maturity; see Adoption Methodology.",R167&amp;"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68">
      <x:c r="A168" s="299" t="str">
        <x:v>Physical AI</x:v>
      </x:c>
      <x:c r="B168" s="299" t="str">
        <x:v>AI / Data / Analytics</x:v>
      </x:c>
      <x:c r="C168" s="300" t="str"/>
      <x:c r="D168" s="300" t="str"/>
      <x:c r="E168" s="300" t="str"/>
      <x:c r="F168" s="300" t="str"/>
      <x:c r="G168" s="300" t="str"/>
      <x:c r="H168" s="300" t="str"/>
      <x:c r="I168" s="300" t="str"/>
      <x:c r="J168" s="300" t="str"/>
      <x:c r="K168" s="300" t="str"/>
      <x:c r="L168" s="300" t="str">
        <x:v>IT</x:v>
      </x:c>
      <x:c r="M168" s="300" t="n">
        <x:f>COUNTIF(C168:L168,"IT")+COUNTIF(C168:L168,"PE")+COUNTIF(C168:L168,"TD")+COUNTIF(C168:L168,"SE")+COUNTIF(C168:L168,"PP")</x:f>
        <x:v>1</x:v>
      </x:c>
      <x:c r="N168" s="300" t="n">
        <x:f>IF(C168&lt;&gt;"",2016,IF(D168&lt;&gt;"",2017,IF(E168&lt;&gt;"",2018,IF(F168&lt;&gt;"",2019,IF(G168&lt;&gt;"",2020,IF(H168&lt;&gt;"",2021,IF(I168&lt;&gt;"",2022,IF(J168&lt;&gt;"",2023,IF(K168&lt;&gt;"",2024,IF(L168&lt;&gt;"",2025,""))))))))))</x:f>
        <x:v>2025</x:v>
      </x:c>
      <x:c r="O168" s="300" t="n">
        <x:f>IF(L168&lt;&gt;"",2025,IF(K168&lt;&gt;"",2024,IF(J168&lt;&gt;"",2023,IF(I168&lt;&gt;"",2022,IF(H168&lt;&gt;"",2021,IF(G168&lt;&gt;"",2020,IF(F168&lt;&gt;"",2019,IF(E168&lt;&gt;"",2018,IF(D168&lt;&gt;"",2017,IF(C168&lt;&gt;"",2016,""))))))))))</x:f>
        <x:v>2025</x:v>
      </x:c>
      <x:c r="P168" s="299" t="str">
        <x:v>Still on the 2025 flagship</x:v>
      </x:c>
      <x:c r="Q168" s="299" t="str">
        <x:v>Still emerging / long-horizon</x:v>
      </x:c>
      <x:c r="R168" s="299" t="str">
        <x:v>By 2026 the technology remains emerging, research-heavy or constrained by economics, engineering, regulation or deployment scale.</x:v>
      </x:c>
      <x:c r="S168" s="299" t="str"/>
      <x:c r="T168" s="300" t="str">
        <x:f>IFERROR(INDEX($C168:$L168,1,MATCH($N168,$C$4:$L$4,0)),"")</x:f>
        <x:v>IT</x:v>
      </x:c>
      <x:c r="U168" s="300" t="n">
        <x:f>IFERROR(VLOOKUP(T168,'Adoption Methodology'!$F$18:$G$22,2,FALSE),"")</x:f>
        <x:v>1</x:v>
      </x:c>
      <x:c r="V168" s="299" t="str">
        <x:f>IFERROR(VLOOKUP(U168,'Adoption Methodology'!$A$5:$C$10,3,FALSE),"")</x:f>
        <x:v>≈1–5% of relevant market; prototypes, pilots or very early deployments</x:v>
      </x:c>
      <x:c r="W168" s="300" t="n">
        <x:f>IFERROR(VLOOKUP(Q168,'Adoption Methodology'!$F$5:$H$12,2,FALSE),"")</x:f>
        <x:v>1</x:v>
      </x:c>
      <x:c r="X168" s="299" t="str">
        <x:f>IFERROR(VLOOKUP(W168,'Adoption Methodology'!$A$5:$C$10,3,FALSE),"")</x:f>
        <x:v>≈1–5% of relevant market; prototypes, pilots or very early deployments</x:v>
      </x:c>
      <x:c r="Y168" s="300" t="n">
        <x:f>IF(OR(U168="",W168=""),"",W168-U168)</x:f>
        <x:v>0</x:v>
      </x:c>
      <x:c r="Z168" s="299" t="str">
        <x:f>IF(Y168="","",IF(Y168&gt;0,"Adoption increased",IF(Y168=0,"Broadly unchanged","Adoption maturity lower")))</x:f>
      </x:c>
      <x:c r="AA168" s="300" t="str">
        <x:f>IFERROR(VLOOKUP(Q168,'Adoption Methodology'!$F$5:$H$12,3,FALSE),"Medium")</x:f>
        <x:v>Medium</x:v>
      </x:c>
      <x:c r="AB168" s="299" t="str">
        <x:f>IFERROR(VLOOKUP(A168,'Adoption Methodology'!$K$5:$L$14,2,FALSE),IFERROR(VLOOKUP(B168,'Adoption Methodology'!$N$5:$O$16,2,FALSE),"https://www.gartner.com/en/information-technology/technology-adoption-roadmaps"))</x:f>
        <x:v>https://www.mckinsey.com/capabilities/quantumblack/our-insights/the-state-of-ai</x:v>
      </x:c>
      <x:c r="AC168" s="299" t="str">
        <x:f>IF(R168="","Modelled adoption maturity; see Adoption Methodology.",R168&amp;"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69">
      <x:c r="A169" s="299" t="str">
        <x:v>Physics-Informed AI</x:v>
      </x:c>
      <x:c r="B169" s="299" t="str">
        <x:v>AI / Data / Analytics</x:v>
      </x:c>
      <x:c r="C169" s="300" t="str"/>
      <x:c r="D169" s="300" t="str"/>
      <x:c r="E169" s="300" t="str"/>
      <x:c r="F169" s="300" t="str"/>
      <x:c r="G169" s="300" t="str"/>
      <x:c r="H169" s="300" t="str">
        <x:v>IT</x:v>
      </x:c>
      <x:c r="I169" s="300" t="str"/>
      <x:c r="J169" s="300" t="str"/>
      <x:c r="K169" s="300" t="str"/>
      <x:c r="L169" s="300" t="str"/>
      <x:c r="M169" s="300" t="n">
        <x:f>COUNTIF(C169:L169,"IT")+COUNTIF(C169:L169,"PE")+COUNTIF(C169:L169,"TD")+COUNTIF(C169:L169,"SE")+COUNTIF(C169:L169,"PP")</x:f>
        <x:v>1</x:v>
      </x:c>
      <x:c r="N169" s="300" t="n">
        <x:f>IF(C169&lt;&gt;"",2016,IF(D169&lt;&gt;"",2017,IF(E169&lt;&gt;"",2018,IF(F169&lt;&gt;"",2019,IF(G169&lt;&gt;"",2020,IF(H169&lt;&gt;"",2021,IF(I169&lt;&gt;"",2022,IF(J169&lt;&gt;"",2023,IF(K169&lt;&gt;"",2024,IF(L169&lt;&gt;"",2025,""))))))))))</x:f>
        <x:v>2021</x:v>
      </x:c>
      <x:c r="O169" s="300" t="n">
        <x:f>IF(L169&lt;&gt;"",2025,IF(K169&lt;&gt;"",2024,IF(J169&lt;&gt;"",2023,IF(I169&lt;&gt;"",2022,IF(H169&lt;&gt;"",2021,IF(G169&lt;&gt;"",2020,IF(F169&lt;&gt;"",2019,IF(E169&lt;&gt;"",2018,IF(D169&lt;&gt;"",2017,IF(C169&lt;&gt;"",2016,""))))))))))</x:f>
        <x:v>2021</x:v>
      </x:c>
      <x:c r="P169" s="299" t="str">
        <x:v>Exited flagship; may continue on specialist Hype Cycles</x:v>
      </x:c>
      <x:c r="Q169" s="299" t="str">
        <x:v>Exited flagship / evolving</x:v>
      </x:c>
      <x:c r="R169" s="299" t="str">
        <x:v>The label left the flagship cycle; Gartner’s flagship is deliberately dynamic, so exit should not be read as failure without checking specialist Hype Cycles.</x:v>
      </x:c>
      <x:c r="S169" s="299" t="str"/>
      <x:c r="T169" s="300" t="str">
        <x:f>IFERROR(INDEX($C169:$L169,1,MATCH($N169,$C$4:$L$4,0)),"")</x:f>
        <x:v>IT</x:v>
      </x:c>
      <x:c r="U169" s="300" t="n">
        <x:f>IFERROR(VLOOKUP(T169,'Adoption Methodology'!$F$18:$G$22,2,FALSE),"")</x:f>
        <x:v>1</x:v>
      </x:c>
      <x:c r="V169" s="299" t="str">
        <x:f>IFERROR(VLOOKUP(U169,'Adoption Methodology'!$A$5:$C$10,3,FALSE),"")</x:f>
        <x:v>≈1–5% of relevant market; prototypes, pilots or very early deployments</x:v>
      </x:c>
      <x:c r="W169" s="300" t="n">
        <x:f>IFERROR(VLOOKUP(Q169,'Adoption Methodology'!$F$5:$H$12,2,FALSE),"")</x:f>
        <x:v>2</x:v>
      </x:c>
      <x:c r="X169" s="299" t="str">
        <x:f>IFERROR(VLOOKUP(W169,'Adoption Methodology'!$A$5:$C$10,3,FALSE),"")</x:f>
        <x:v>≈5–15% of relevant market; credible deployments but limited scale</x:v>
      </x:c>
      <x:c r="Y169" s="300" t="n">
        <x:f>IF(OR(U169="",W169=""),"",W169-U169)</x:f>
        <x:v>1</x:v>
      </x:c>
      <x:c r="Z169" s="299" t="str">
        <x:f>IF(Y169="","",IF(Y169&gt;0,"Adoption increased",IF(Y169=0,"Broadly unchanged","Adoption maturity lower")))</x:f>
        <x:v>Adoption increased</x:v>
      </x:c>
      <x:c r="AA169" s="300" t="str">
        <x:f>IFERROR(VLOOKUP(Q169,'Adoption Methodology'!$F$5:$H$12,3,FALSE),"Medium")</x:f>
        <x:v>Medium-Low</x:v>
      </x:c>
      <x:c r="AB169" s="299" t="str">
        <x:f>IFERROR(VLOOKUP(A169,'Adoption Methodology'!$K$5:$L$14,2,FALSE),IFERROR(VLOOKUP(B169,'Adoption Methodology'!$N$5:$O$16,2,FALSE),"https://www.gartner.com/en/information-technology/technology-adoption-roadmaps"))</x:f>
        <x:v>https://www.mckinsey.com/capabilities/quantumblack/our-insights/the-state-of-ai</x:v>
      </x:c>
      <x:c r="AC169" s="299" t="str">
        <x:f>IF(R169="","Modelled adoption maturity; see Adoption Methodology.",R169&amp;"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70">
      <x:c r="A170" s="299" t="str">
        <x:v>Platform Engineering</x:v>
      </x:c>
      <x:c r="B170" s="299" t="str">
        <x:v>Cloud / Software Engineering</x:v>
      </x:c>
      <x:c r="C170" s="300" t="str"/>
      <x:c r="D170" s="300" t="str"/>
      <x:c r="E170" s="300" t="str"/>
      <x:c r="F170" s="300" t="str"/>
      <x:c r="G170" s="300" t="str"/>
      <x:c r="H170" s="300" t="str"/>
      <x:c r="I170" s="300" t="str">
        <x:v>IT</x:v>
      </x:c>
      <x:c r="J170" s="300" t="str"/>
      <x:c r="K170" s="300" t="str"/>
      <x:c r="L170" s="300" t="str"/>
      <x:c r="M170" s="300" t="n">
        <x:f>COUNTIF(C170:L170,"IT")+COUNTIF(C170:L170,"PE")+COUNTIF(C170:L170,"TD")+COUNTIF(C170:L170,"SE")+COUNTIF(C170:L170,"PP")</x:f>
        <x:v>1</x:v>
      </x:c>
      <x:c r="N170" s="300" t="n">
        <x:f>IF(C170&lt;&gt;"",2016,IF(D170&lt;&gt;"",2017,IF(E170&lt;&gt;"",2018,IF(F170&lt;&gt;"",2019,IF(G170&lt;&gt;"",2020,IF(H170&lt;&gt;"",2021,IF(I170&lt;&gt;"",2022,IF(J170&lt;&gt;"",2023,IF(K170&lt;&gt;"",2024,IF(L170&lt;&gt;"",2025,""))))))))))</x:f>
        <x:v>2022</x:v>
      </x:c>
      <x:c r="O170" s="300" t="n">
        <x:f>IF(L170&lt;&gt;"",2025,IF(K170&lt;&gt;"",2024,IF(J170&lt;&gt;"",2023,IF(I170&lt;&gt;"",2022,IF(H170&lt;&gt;"",2021,IF(G170&lt;&gt;"",2020,IF(F170&lt;&gt;"",2019,IF(E170&lt;&gt;"",2018,IF(D170&lt;&gt;"",2017,IF(C170&lt;&gt;"",2016,""))))))))))</x:f>
        <x:v>2022</x:v>
      </x:c>
      <x:c r="P170" s="299" t="str">
        <x:v>Exited flagship; may continue on specialist Hype Cycles</x:v>
      </x:c>
      <x:c r="Q170" s="299" t="str">
        <x:v>Established / mainstream</x:v>
      </x:c>
      <x:c r="R170" s="299" t="str">
        <x:v>By 2026 this capability is commercially established or embedded in mainstream enterprise/consumer technology, even if the original Gartner label is no longer prominent.</x:v>
      </x:c>
      <x:c r="S170" s="299" t="str"/>
      <x:c r="T170" s="300" t="str">
        <x:f>IFERROR(INDEX($C170:$L170,1,MATCH($N170,$C$4:$L$4,0)),"")</x:f>
        <x:v>IT</x:v>
      </x:c>
      <x:c r="U170" s="300" t="n">
        <x:f>IFERROR(VLOOKUP(T170,'Adoption Methodology'!$F$18:$G$22,2,FALSE),"")</x:f>
        <x:v>1</x:v>
      </x:c>
      <x:c r="V170" s="299" t="str">
        <x:f>IFERROR(VLOOKUP(U170,'Adoption Methodology'!$A$5:$C$10,3,FALSE),"")</x:f>
        <x:v>≈1–5% of relevant market; prototypes, pilots or very early deployments</x:v>
      </x:c>
      <x:c r="W170" s="300" t="n">
        <x:f>IFERROR(VLOOKUP(Q170,'Adoption Methodology'!$F$5:$H$12,2,FALSE),"")</x:f>
        <x:v>5</x:v>
      </x:c>
      <x:c r="X170" s="299" t="str">
        <x:f>IFERROR(VLOOKUP(W170,'Adoption Methodology'!$A$5:$C$10,3,FALSE),"")</x:f>
        <x:v>&gt;60% in leading/addressable segments, or effectively a standard/default capability</x:v>
      </x:c>
      <x:c r="Y170" s="300" t="n">
        <x:f>IF(OR(U170="",W170=""),"",W170-U170)</x:f>
        <x:v>4</x:v>
      </x:c>
      <x:c r="Z170" s="299" t="str">
        <x:f>IF(Y170="","",IF(Y170&gt;0,"Adoption increased",IF(Y170=0,"Broadly unchanged","Adoption maturity lower")))</x:f>
        <x:v>Adoption increased</x:v>
      </x:c>
      <x:c r="AA170" s="300" t="str">
        <x:f>IFERROR(VLOOKUP(Q170,'Adoption Methodology'!$F$5:$H$12,3,FALSE),"Medium")</x:f>
        <x:v>High</x:v>
      </x:c>
      <x:c r="AB170" s="299" t="str">
        <x:f>IFERROR(VLOOKUP(A170,'Adoption Methodology'!$K$5:$L$14,2,FALSE),IFERROR(VLOOKUP(B170,'Adoption Methodology'!$N$5:$O$16,2,FALSE),"https://www.gartner.com/en/information-technology/technology-adoption-roadmaps"))</x:f>
        <x:v>https://www.cncf.io/reports/the-cncf-annual-cloud-native-survey/</x:v>
      </x:c>
      <x:c r="AC170" s="299" t="str">
        <x:f>IF(R170="","Modelled adoption maturity; see Adoption Methodology.",R170&amp;"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71">
      <x:c r="A171" s="299" t="str">
        <x:v>Postquantum Cryptography</x:v>
      </x:c>
      <x:c r="B171" s="299" t="str">
        <x:v>Security / Privacy</x:v>
      </x:c>
      <x:c r="C171" s="300" t="str"/>
      <x:c r="D171" s="300" t="str"/>
      <x:c r="E171" s="300" t="str"/>
      <x:c r="F171" s="300" t="str"/>
      <x:c r="G171" s="300" t="str"/>
      <x:c r="H171" s="300" t="str"/>
      <x:c r="I171" s="300" t="str"/>
      <x:c r="J171" s="300" t="str">
        <x:v>IT</x:v>
      </x:c>
      <x:c r="K171" s="300" t="str"/>
      <x:c r="L171" s="300" t="str"/>
      <x:c r="M171" s="300" t="n">
        <x:f>COUNTIF(C171:L171,"IT")+COUNTIF(C171:L171,"PE")+COUNTIF(C171:L171,"TD")+COUNTIF(C171:L171,"SE")+COUNTIF(C171:L171,"PP")</x:f>
        <x:v>1</x:v>
      </x:c>
      <x:c r="N171" s="300" t="n">
        <x:f>IF(C171&lt;&gt;"",2016,IF(D171&lt;&gt;"",2017,IF(E171&lt;&gt;"",2018,IF(F171&lt;&gt;"",2019,IF(G171&lt;&gt;"",2020,IF(H171&lt;&gt;"",2021,IF(I171&lt;&gt;"",2022,IF(J171&lt;&gt;"",2023,IF(K171&lt;&gt;"",2024,IF(L171&lt;&gt;"",2025,""))))))))))</x:f>
        <x:v>2023</x:v>
      </x:c>
      <x:c r="O171" s="300" t="n">
        <x:f>IF(L171&lt;&gt;"",2025,IF(K171&lt;&gt;"",2024,IF(J171&lt;&gt;"",2023,IF(I171&lt;&gt;"",2022,IF(H171&lt;&gt;"",2021,IF(G171&lt;&gt;"",2020,IF(F171&lt;&gt;"",2019,IF(E171&lt;&gt;"",2018,IF(D171&lt;&gt;"",2017,IF(C171&lt;&gt;"",2016,""))))))))))</x:f>
        <x:v>2023</x:v>
      </x:c>
      <x:c r="P171" s="299" t="str">
        <x:v>Exited flagship; may continue on specialist Hype Cycles</x:v>
      </x:c>
      <x:c r="Q171" s="299" t="str">
        <x:v>Established / specialist</x:v>
      </x:c>
      <x:c r="R171" s="299" t="str">
        <x:v>By 2026 there are credible production uses and vendors, but adoption is concentrated in particular workloads, industries or architectures rather than universal.</x:v>
      </x:c>
      <x:c r="S171" s="299" t="str"/>
      <x:c r="T171" s="300" t="str">
        <x:f>IFERROR(INDEX($C171:$L171,1,MATCH($N171,$C$4:$L$4,0)),"")</x:f>
        <x:v>IT</x:v>
      </x:c>
      <x:c r="U171" s="300" t="n">
        <x:f>IFERROR(VLOOKUP(T171,'Adoption Methodology'!$F$18:$G$22,2,FALSE),"")</x:f>
        <x:v>1</x:v>
      </x:c>
      <x:c r="V171" s="299" t="str">
        <x:f>IFERROR(VLOOKUP(U171,'Adoption Methodology'!$A$5:$C$10,3,FALSE),"")</x:f>
        <x:v>≈1–5% of relevant market; prototypes, pilots or very early deployments</x:v>
      </x:c>
      <x:c r="W171" s="300" t="n">
        <x:f>IFERROR(VLOOKUP(Q171,'Adoption Methodology'!$F$5:$H$12,2,FALSE),"")</x:f>
        <x:v>4</x:v>
      </x:c>
      <x:c r="X171" s="299" t="str">
        <x:f>IFERROR(VLOOKUP(W171,'Adoption Methodology'!$A$5:$C$10,3,FALSE),"")</x:f>
        <x:v>≈35–60% within the addressable segment; mature specialist use</x:v>
      </x:c>
      <x:c r="Y171" s="300" t="n">
        <x:f>IF(OR(U171="",W171=""),"",W171-U171)</x:f>
        <x:v>3</x:v>
      </x:c>
      <x:c r="Z171" s="299" t="str">
        <x:f>IF(Y171="","",IF(Y171&gt;0,"Adoption increased",IF(Y171=0,"Broadly unchanged","Adoption maturity lower")))</x:f>
        <x:v>Adoption increased</x:v>
      </x:c>
      <x:c r="AA171" s="300" t="str">
        <x:f>IFERROR(VLOOKUP(Q171,'Adoption Methodology'!$F$5:$H$12,3,FALSE),"Medium")</x:f>
        <x:v>High</x:v>
      </x:c>
      <x:c r="AB171" s="299" t="str">
        <x:f>IFERROR(VLOOKUP(A171,'Adoption Methodology'!$K$5:$L$14,2,FALSE),IFERROR(VLOOKUP(B171,'Adoption Methodology'!$N$5:$O$16,2,FALSE),"https://www.gartner.com/en/information-technology/technology-adoption-roadmaps"))</x:f>
        <x:v>https://www.gartner.com/en/information-technology/technology-adoption-roadmaps</x:v>
      </x:c>
      <x:c r="AC171" s="299" t="str">
        <x:f>IF(R171="","Modelled adoption maturity; see Adoption Methodology.",R171&amp;"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72">
      <x:c r="A172" s="299" t="str">
        <x:v>Private 5G</x:v>
      </x:c>
      <x:c r="B172" s="299" t="str">
        <x:v>Connectivity / Edge / IoT</x:v>
      </x:c>
      <x:c r="C172" s="300" t="str"/>
      <x:c r="D172" s="300" t="str"/>
      <x:c r="E172" s="300" t="str"/>
      <x:c r="F172" s="300" t="str"/>
      <x:c r="G172" s="300" t="str">
        <x:v>IT</x:v>
      </x:c>
      <x:c r="H172" s="300" t="str"/>
      <x:c r="I172" s="300" t="str"/>
      <x:c r="J172" s="300" t="str"/>
      <x:c r="K172" s="300" t="str"/>
      <x:c r="L172" s="300" t="str"/>
      <x:c r="M172" s="300" t="n">
        <x:f>COUNTIF(C172:L172,"IT")+COUNTIF(C172:L172,"PE")+COUNTIF(C172:L172,"TD")+COUNTIF(C172:L172,"SE")+COUNTIF(C172:L172,"PP")</x:f>
        <x:v>1</x:v>
      </x:c>
      <x:c r="N172" s="300" t="n">
        <x:f>IF(C172&lt;&gt;"",2016,IF(D172&lt;&gt;"",2017,IF(E172&lt;&gt;"",2018,IF(F172&lt;&gt;"",2019,IF(G172&lt;&gt;"",2020,IF(H172&lt;&gt;"",2021,IF(I172&lt;&gt;"",2022,IF(J172&lt;&gt;"",2023,IF(K172&lt;&gt;"",2024,IF(L172&lt;&gt;"",2025,""))))))))))</x:f>
        <x:v>2020</x:v>
      </x:c>
      <x:c r="O172" s="300" t="n">
        <x:f>IF(L172&lt;&gt;"",2025,IF(K172&lt;&gt;"",2024,IF(J172&lt;&gt;"",2023,IF(I172&lt;&gt;"",2022,IF(H172&lt;&gt;"",2021,IF(G172&lt;&gt;"",2020,IF(F172&lt;&gt;"",2019,IF(E172&lt;&gt;"",2018,IF(D172&lt;&gt;"",2017,IF(C172&lt;&gt;"",2016,""))))))))))</x:f>
        <x:v>2020</x:v>
      </x:c>
      <x:c r="P172" s="299" t="str">
        <x:v>Exited flagship; may continue on specialist Hype Cycles</x:v>
      </x:c>
      <x:c r="Q172" s="299" t="str">
        <x:v>Established / mainstream</x:v>
      </x:c>
      <x:c r="R172" s="299" t="str">
        <x:v>By 2026 this capability is commercially established or embedded in mainstream enterprise/consumer technology, even if the original Gartner label is no longer prominent.</x:v>
      </x:c>
      <x:c r="S172" s="299" t="str"/>
      <x:c r="T172" s="300" t="str">
        <x:f>IFERROR(INDEX($C172:$L172,1,MATCH($N172,$C$4:$L$4,0)),"")</x:f>
        <x:v>IT</x:v>
      </x:c>
      <x:c r="U172" s="300" t="n">
        <x:f>IFERROR(VLOOKUP(T172,'Adoption Methodology'!$F$18:$G$22,2,FALSE),"")</x:f>
        <x:v>1</x:v>
      </x:c>
      <x:c r="V172" s="299" t="str">
        <x:f>IFERROR(VLOOKUP(U172,'Adoption Methodology'!$A$5:$C$10,3,FALSE),"")</x:f>
        <x:v>≈1–5% of relevant market; prototypes, pilots or very early deployments</x:v>
      </x:c>
      <x:c r="W172" s="300" t="n">
        <x:f>IFERROR(VLOOKUP(Q172,'Adoption Methodology'!$F$5:$H$12,2,FALSE),"")</x:f>
        <x:v>5</x:v>
      </x:c>
      <x:c r="X172" s="299" t="str">
        <x:f>IFERROR(VLOOKUP(W172,'Adoption Methodology'!$A$5:$C$10,3,FALSE),"")</x:f>
        <x:v>&gt;60% in leading/addressable segments, or effectively a standard/default capability</x:v>
      </x:c>
      <x:c r="Y172" s="300" t="n">
        <x:f>IF(OR(U172="",W172=""),"",W172-U172)</x:f>
        <x:v>4</x:v>
      </x:c>
      <x:c r="Z172" s="299" t="str">
        <x:f>IF(Y172="","",IF(Y172&gt;0,"Adoption increased",IF(Y172=0,"Broadly unchanged","Adoption maturity lower")))</x:f>
        <x:v>Adoption increased</x:v>
      </x:c>
      <x:c r="AA172" s="300" t="str">
        <x:f>IFERROR(VLOOKUP(Q172,'Adoption Methodology'!$F$5:$H$12,3,FALSE),"Medium")</x:f>
        <x:v>High</x:v>
      </x:c>
      <x:c r="AB172" s="299" t="str">
        <x:f>IFERROR(VLOOKUP(A172,'Adoption Methodology'!$K$5:$L$14,2,FALSE),IFERROR(VLOOKUP(B172,'Adoption Methodology'!$N$5:$O$16,2,FALSE),"https://www.gartner.com/en/information-technology/technology-adoption-roadmaps"))</x:f>
        <x:v>https://www.gsma.com/about-us/regions/europe/gsma_resources/the-mobile-economy-2026/</x:v>
      </x:c>
      <x:c r="AC172" s="299" t="str">
        <x:f>IF(R172="","Modelled adoption maturity; see Adoption Methodology.",R172&amp;"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73">
      <x:c r="A173" s="299" t="str">
        <x:v>Programmable Money</x:v>
      </x:c>
      <x:c r="B173" s="299" t="str">
        <x:v>Blockchain / Digital Assets</x:v>
      </x:c>
      <x:c r="C173" s="300" t="str"/>
      <x:c r="D173" s="300" t="str"/>
      <x:c r="E173" s="300" t="str"/>
      <x:c r="F173" s="300" t="str"/>
      <x:c r="G173" s="300" t="str"/>
      <x:c r="H173" s="300" t="str"/>
      <x:c r="I173" s="300" t="str"/>
      <x:c r="J173" s="300" t="str"/>
      <x:c r="K173" s="300" t="str"/>
      <x:c r="L173" s="300" t="str">
        <x:v>PE</x:v>
      </x:c>
      <x:c r="M173" s="300" t="n">
        <x:f>COUNTIF(C173:L173,"IT")+COUNTIF(C173:L173,"PE")+COUNTIF(C173:L173,"TD")+COUNTIF(C173:L173,"SE")+COUNTIF(C173:L173,"PP")</x:f>
        <x:v>1</x:v>
      </x:c>
      <x:c r="N173" s="300" t="n">
        <x:f>IF(C173&lt;&gt;"",2016,IF(D173&lt;&gt;"",2017,IF(E173&lt;&gt;"",2018,IF(F173&lt;&gt;"",2019,IF(G173&lt;&gt;"",2020,IF(H173&lt;&gt;"",2021,IF(I173&lt;&gt;"",2022,IF(J173&lt;&gt;"",2023,IF(K173&lt;&gt;"",2024,IF(L173&lt;&gt;"",2025,""))))))))))</x:f>
        <x:v>2025</x:v>
      </x:c>
      <x:c r="O173" s="300" t="n">
        <x:f>IF(L173&lt;&gt;"",2025,IF(K173&lt;&gt;"",2024,IF(J173&lt;&gt;"",2023,IF(I173&lt;&gt;"",2022,IF(H173&lt;&gt;"",2021,IF(G173&lt;&gt;"",2020,IF(F173&lt;&gt;"",2019,IF(E173&lt;&gt;"",2018,IF(D173&lt;&gt;"",2017,IF(C173&lt;&gt;"",2016,""))))))))))</x:f>
        <x:v>2025</x:v>
      </x:c>
      <x:c r="P173" s="299" t="str">
        <x:v>Still on the 2025 flagship</x:v>
      </x:c>
      <x:c r="Q173" s="299" t="str">
        <x:v>Still emerging / evolving</x:v>
      </x:c>
      <x:c r="R173" s="299" t="str">
        <x:v>By 2026 the category is still evolving quickly; commercial adoption exists or is beginning, but maturity and durable ROI vary significantly.</x:v>
      </x:c>
      <x:c r="S173" s="299" t="str"/>
      <x:c r="T173" s="300" t="str">
        <x:f>IFERROR(INDEX($C173:$L173,1,MATCH($N173,$C$4:$L$4,0)),"")</x:f>
        <x:v>PE</x:v>
      </x:c>
      <x:c r="U173" s="300" t="n">
        <x:f>IFERROR(VLOOKUP(T173,'Adoption Methodology'!$F$18:$G$22,2,FALSE),"")</x:f>
        <x:v>2</x:v>
      </x:c>
      <x:c r="V173" s="299" t="str">
        <x:f>IFERROR(VLOOKUP(U173,'Adoption Methodology'!$A$5:$C$10,3,FALSE),"")</x:f>
        <x:v>≈5–15% of relevant market; credible deployments but limited scale</x:v>
      </x:c>
      <x:c r="W173" s="300" t="n">
        <x:f>IFERROR(VLOOKUP(Q173,'Adoption Methodology'!$F$5:$H$12,2,FALSE),"")</x:f>
        <x:v>2</x:v>
      </x:c>
      <x:c r="X173" s="299" t="str">
        <x:f>IFERROR(VLOOKUP(W173,'Adoption Methodology'!$A$5:$C$10,3,FALSE),"")</x:f>
        <x:v>≈5–15% of relevant market; credible deployments but limited scale</x:v>
      </x:c>
      <x:c r="Y173" s="300" t="n">
        <x:f>IF(OR(U173="",W173=""),"",W173-U173)</x:f>
        <x:v>0</x:v>
      </x:c>
      <x:c r="Z173" s="299" t="str">
        <x:f>IF(Y173="","",IF(Y173&gt;0,"Adoption increased",IF(Y173=0,"Broadly unchanged","Adoption maturity lower")))</x:f>
      </x:c>
      <x:c r="AA173" s="300" t="str">
        <x:f>IFERROR(VLOOKUP(Q173,'Adoption Methodology'!$F$5:$H$12,3,FALSE),"Medium")</x:f>
        <x:v>Medium</x:v>
      </x:c>
      <x:c r="AB173" s="299" t="str">
        <x:f>IFERROR(VLOOKUP(A173,'Adoption Methodology'!$K$5:$L$14,2,FALSE),IFERROR(VLOOKUP(B173,'Adoption Methodology'!$N$5:$O$16,2,FALSE),"https://www.gartner.com/en/information-technology/technology-adoption-roadmaps"))</x:f>
        <x:v>https://www.deloitte.com/us/en/insights/topics/business-strategy-growth/2q-2025-cfo-signals-survey.html</x:v>
      </x:c>
      <x:c r="AC173" s="299" t="str">
        <x:f>IF(R173="","Modelled adoption maturity; see Adoption Methodology.",R173&amp;"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74">
      <x:c r="A174" s="299" t="str">
        <x:v>Prompt Engineering</x:v>
      </x:c>
      <x:c r="B174" s="299" t="str">
        <x:v>Business / Emerging Technology</x:v>
      </x:c>
      <x:c r="C174" s="300" t="str"/>
      <x:c r="D174" s="300" t="str"/>
      <x:c r="E174" s="300" t="str"/>
      <x:c r="F174" s="300" t="str"/>
      <x:c r="G174" s="300" t="str"/>
      <x:c r="H174" s="300" t="str"/>
      <x:c r="I174" s="300" t="str"/>
      <x:c r="J174" s="300" t="str"/>
      <x:c r="K174" s="300" t="str">
        <x:v>PE</x:v>
      </x:c>
      <x:c r="L174" s="300" t="str"/>
      <x:c r="M174" s="300" t="n">
        <x:f>COUNTIF(C174:L174,"IT")+COUNTIF(C174:L174,"PE")+COUNTIF(C174:L174,"TD")+COUNTIF(C174:L174,"SE")+COUNTIF(C174:L174,"PP")</x:f>
        <x:v>1</x:v>
      </x:c>
      <x:c r="N174" s="300" t="n">
        <x:f>IF(C174&lt;&gt;"",2016,IF(D174&lt;&gt;"",2017,IF(E174&lt;&gt;"",2018,IF(F174&lt;&gt;"",2019,IF(G174&lt;&gt;"",2020,IF(H174&lt;&gt;"",2021,IF(I174&lt;&gt;"",2022,IF(J174&lt;&gt;"",2023,IF(K174&lt;&gt;"",2024,IF(L174&lt;&gt;"",2025,""))))))))))</x:f>
        <x:v>2024</x:v>
      </x:c>
      <x:c r="O174" s="300" t="n">
        <x:f>IF(L174&lt;&gt;"",2025,IF(K174&lt;&gt;"",2024,IF(J174&lt;&gt;"",2023,IF(I174&lt;&gt;"",2022,IF(H174&lt;&gt;"",2021,IF(G174&lt;&gt;"",2020,IF(F174&lt;&gt;"",2019,IF(E174&lt;&gt;"",2018,IF(D174&lt;&gt;"",2017,IF(C174&lt;&gt;"",2016,""))))))))))</x:f>
        <x:v>2024</x:v>
      </x:c>
      <x:c r="P174" s="299" t="str">
        <x:v>Exited flagship; may continue on specialist Hype Cycles</x:v>
      </x:c>
      <x:c r="Q174" s="299" t="str">
        <x:v>Established / mainstream</x:v>
      </x:c>
      <x:c r="R174" s="299" t="str">
        <x:v>By 2026 this capability is commercially established or embedded in mainstream enterprise/consumer technology, even if the original Gartner label is no longer prominent.</x:v>
      </x:c>
      <x:c r="S174" s="299" t="str"/>
      <x:c r="T174" s="300" t="str">
        <x:f>IFERROR(INDEX($C174:$L174,1,MATCH($N174,$C$4:$L$4,0)),"")</x:f>
        <x:v>PE</x:v>
      </x:c>
      <x:c r="U174" s="300" t="n">
        <x:f>IFERROR(VLOOKUP(T174,'Adoption Methodology'!$F$18:$G$22,2,FALSE),"")</x:f>
        <x:v>2</x:v>
      </x:c>
      <x:c r="V174" s="299" t="str">
        <x:f>IFERROR(VLOOKUP(U174,'Adoption Methodology'!$A$5:$C$10,3,FALSE),"")</x:f>
        <x:v>≈5–15% of relevant market; credible deployments but limited scale</x:v>
      </x:c>
      <x:c r="W174" s="300" t="n">
        <x:f>IFERROR(VLOOKUP(Q174,'Adoption Methodology'!$F$5:$H$12,2,FALSE),"")</x:f>
        <x:v>5</x:v>
      </x:c>
      <x:c r="X174" s="299" t="str">
        <x:f>IFERROR(VLOOKUP(W174,'Adoption Methodology'!$A$5:$C$10,3,FALSE),"")</x:f>
        <x:v>&gt;60% in leading/addressable segments, or effectively a standard/default capability</x:v>
      </x:c>
      <x:c r="Y174" s="300" t="n">
        <x:f>IF(OR(U174="",W174=""),"",W174-U174)</x:f>
        <x:v>3</x:v>
      </x:c>
      <x:c r="Z174" s="299" t="str">
        <x:f>IF(Y174="","",IF(Y174&gt;0,"Adoption increased",IF(Y174=0,"Broadly unchanged","Adoption maturity lower")))</x:f>
        <x:v>Adoption increased</x:v>
      </x:c>
      <x:c r="AA174" s="300" t="str">
        <x:f>IFERROR(VLOOKUP(Q174,'Adoption Methodology'!$F$5:$H$12,3,FALSE),"Medium")</x:f>
        <x:v>High</x:v>
      </x:c>
      <x:c r="AB174" s="299" t="str">
        <x:f>IFERROR(VLOOKUP(A174,'Adoption Methodology'!$K$5:$L$14,2,FALSE),IFERROR(VLOOKUP(B174,'Adoption Methodology'!$N$5:$O$16,2,FALSE),"https://www.gartner.com/en/information-technology/technology-adoption-roadmaps"))</x:f>
        <x:v>https://www.gartner.com/en/information-technology/technology-adoption-roadmaps</x:v>
      </x:c>
      <x:c r="AC174" s="299" t="str">
        <x:f>IF(R174="","Modelled adoption maturity; see Adoption Methodology.",R174&amp;"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75">
      <x:c r="A175" s="299" t="str">
        <x:v>Quantum Computing</x:v>
      </x:c>
      <x:c r="B175" s="299" t="str">
        <x:v>Advanced Computing</x:v>
      </x:c>
      <x:c r="C175" s="300" t="str">
        <x:v>IT</x:v>
      </x:c>
      <x:c r="D175" s="300" t="str">
        <x:v>IT</x:v>
      </x:c>
      <x:c r="E175" s="300" t="str">
        <x:v>IT</x:v>
      </x:c>
      <x:c r="F175" s="300" t="str"/>
      <x:c r="G175" s="300" t="str"/>
      <x:c r="H175" s="300" t="str"/>
      <x:c r="I175" s="300" t="str"/>
      <x:c r="J175" s="300" t="str"/>
      <x:c r="K175" s="300" t="str"/>
      <x:c r="L175" s="300" t="str"/>
      <x:c r="M175" s="300" t="n">
        <x:f>COUNTIF(C175:L175,"IT")+COUNTIF(C175:L175,"PE")+COUNTIF(C175:L175,"TD")+COUNTIF(C175:L175,"SE")+COUNTIF(C175:L175,"PP")</x:f>
        <x:v>3</x:v>
      </x:c>
      <x:c r="N175" s="300" t="n">
        <x:f>IF(C175&lt;&gt;"",2016,IF(D175&lt;&gt;"",2017,IF(E175&lt;&gt;"",2018,IF(F175&lt;&gt;"",2019,IF(G175&lt;&gt;"",2020,IF(H175&lt;&gt;"",2021,IF(I175&lt;&gt;"",2022,IF(J175&lt;&gt;"",2023,IF(K175&lt;&gt;"",2024,IF(L175&lt;&gt;"",2025,""))))))))))</x:f>
        <x:v>2016</x:v>
      </x:c>
      <x:c r="O175" s="300" t="n">
        <x:f>IF(L175&lt;&gt;"",2025,IF(K175&lt;&gt;"",2024,IF(J175&lt;&gt;"",2023,IF(I175&lt;&gt;"",2022,IF(H175&lt;&gt;"",2021,IF(G175&lt;&gt;"",2020,IF(F175&lt;&gt;"",2019,IF(E175&lt;&gt;"",2018,IF(D175&lt;&gt;"",2017,IF(C175&lt;&gt;"",2016,""))))))))))</x:f>
        <x:v>2018</x:v>
      </x:c>
      <x:c r="P175" s="299" t="str">
        <x:v>Exited flagship; may continue on specialist Hype Cycles</x:v>
      </x:c>
      <x:c r="Q175" s="299" t="str">
        <x:v>Still emerging / long-horizon</x:v>
      </x:c>
      <x:c r="R175" s="299" t="str">
        <x:v>By 2026 the technology remains emerging, research-heavy or constrained by economics, engineering, regulation or deployment scale.</x:v>
      </x:c>
      <x:c r="S175" s="299" t="str"/>
      <x:c r="T175" s="300" t="str">
        <x:f>IFERROR(INDEX($C175:$L175,1,MATCH($N175,$C$4:$L$4,0)),"")</x:f>
        <x:v>IT</x:v>
      </x:c>
      <x:c r="U175" s="300" t="n">
        <x:f>IFERROR(VLOOKUP(T175,'Adoption Methodology'!$F$18:$G$22,2,FALSE),"")</x:f>
        <x:v>1</x:v>
      </x:c>
      <x:c r="V175" s="299" t="str">
        <x:f>IFERROR(VLOOKUP(U175,'Adoption Methodology'!$A$5:$C$10,3,FALSE),"")</x:f>
        <x:v>≈1–5% of relevant market; prototypes, pilots or very early deployments</x:v>
      </x:c>
      <x:c r="W175" s="300" t="n">
        <x:f>IFERROR(VLOOKUP(Q175,'Adoption Methodology'!$F$5:$H$12,2,FALSE),"")</x:f>
        <x:v>1</x:v>
      </x:c>
      <x:c r="X175" s="299" t="str">
        <x:f>IFERROR(VLOOKUP(W175,'Adoption Methodology'!$A$5:$C$10,3,FALSE),"")</x:f>
        <x:v>≈1–5% of relevant market; prototypes, pilots or very early deployments</x:v>
      </x:c>
      <x:c r="Y175" s="300" t="n">
        <x:f>IF(OR(U175="",W175=""),"",W175-U175)</x:f>
        <x:v>0</x:v>
      </x:c>
      <x:c r="Z175" s="299" t="str">
        <x:f>IF(Y175="","",IF(Y175&gt;0,"Adoption increased",IF(Y175=0,"Broadly unchanged","Adoption maturity lower")))</x:f>
      </x:c>
      <x:c r="AA175" s="300" t="str">
        <x:f>IFERROR(VLOOKUP(Q175,'Adoption Methodology'!$F$5:$H$12,3,FALSE),"Medium")</x:f>
        <x:v>Medium</x:v>
      </x:c>
      <x:c r="AB175" s="299" t="str">
        <x:f>IFERROR(VLOOKUP(A175,'Adoption Methodology'!$K$5:$L$14,2,FALSE),IFERROR(VLOOKUP(B175,'Adoption Methodology'!$N$5:$O$16,2,FALSE),"https://www.gartner.com/en/information-technology/technology-adoption-roadmaps"))</x:f>
        <x:v>https://www.mckinsey.com/capabilities/mckinsey-technology/our-insights/mckinsey-quantum-technology-monitor-2026-a-commercial-tipping-point</x:v>
      </x:c>
      <x:c r="AC175" s="299" t="str">
        <x:f>IF(R175="","Modelled adoption maturity; see Adoption Methodology.",R175&amp;"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76">
      <x:c r="A176" s="299" t="str">
        <x:v>Quantum ML</x:v>
      </x:c>
      <x:c r="B176" s="299" t="str">
        <x:v>Advanced Computing</x:v>
      </x:c>
      <x:c r="C176" s="300" t="str"/>
      <x:c r="D176" s="300" t="str"/>
      <x:c r="E176" s="300" t="str"/>
      <x:c r="F176" s="300" t="str"/>
      <x:c r="G176" s="300" t="str"/>
      <x:c r="H176" s="300" t="str">
        <x:v>IT</x:v>
      </x:c>
      <x:c r="I176" s="300" t="str"/>
      <x:c r="J176" s="300" t="str"/>
      <x:c r="K176" s="300" t="str"/>
      <x:c r="L176" s="300" t="str"/>
      <x:c r="M176" s="300" t="n">
        <x:f>COUNTIF(C176:L176,"IT")+COUNTIF(C176:L176,"PE")+COUNTIF(C176:L176,"TD")+COUNTIF(C176:L176,"SE")+COUNTIF(C176:L176,"PP")</x:f>
        <x:v>1</x:v>
      </x:c>
      <x:c r="N176" s="300" t="n">
        <x:f>IF(C176&lt;&gt;"",2016,IF(D176&lt;&gt;"",2017,IF(E176&lt;&gt;"",2018,IF(F176&lt;&gt;"",2019,IF(G176&lt;&gt;"",2020,IF(H176&lt;&gt;"",2021,IF(I176&lt;&gt;"",2022,IF(J176&lt;&gt;"",2023,IF(K176&lt;&gt;"",2024,IF(L176&lt;&gt;"",2025,""))))))))))</x:f>
        <x:v>2021</x:v>
      </x:c>
      <x:c r="O176" s="300" t="n">
        <x:f>IF(L176&lt;&gt;"",2025,IF(K176&lt;&gt;"",2024,IF(J176&lt;&gt;"",2023,IF(I176&lt;&gt;"",2022,IF(H176&lt;&gt;"",2021,IF(G176&lt;&gt;"",2020,IF(F176&lt;&gt;"",2019,IF(E176&lt;&gt;"",2018,IF(D176&lt;&gt;"",2017,IF(C176&lt;&gt;"",2016,""))))))))))</x:f>
        <x:v>2021</x:v>
      </x:c>
      <x:c r="P176" s="299" t="str">
        <x:v>Exited flagship; may continue on specialist Hype Cycles</x:v>
      </x:c>
      <x:c r="Q176" s="299" t="str">
        <x:v>Still emerging / long-horizon</x:v>
      </x:c>
      <x:c r="R176" s="299" t="str">
        <x:v>By 2026 the technology remains emerging, research-heavy or constrained by economics, engineering, regulation or deployment scale.</x:v>
      </x:c>
      <x:c r="S176" s="299" t="str"/>
      <x:c r="T176" s="300" t="str">
        <x:f>IFERROR(INDEX($C176:$L176,1,MATCH($N176,$C$4:$L$4,0)),"")</x:f>
        <x:v>IT</x:v>
      </x:c>
      <x:c r="U176" s="300" t="n">
        <x:f>IFERROR(VLOOKUP(T176,'Adoption Methodology'!$F$18:$G$22,2,FALSE),"")</x:f>
        <x:v>1</x:v>
      </x:c>
      <x:c r="V176" s="299" t="str">
        <x:f>IFERROR(VLOOKUP(U176,'Adoption Methodology'!$A$5:$C$10,3,FALSE),"")</x:f>
        <x:v>≈1–5% of relevant market; prototypes, pilots or very early deployments</x:v>
      </x:c>
      <x:c r="W176" s="300" t="n">
        <x:f>IFERROR(VLOOKUP(Q176,'Adoption Methodology'!$F$5:$H$12,2,FALSE),"")</x:f>
        <x:v>1</x:v>
      </x:c>
      <x:c r="X176" s="299" t="str">
        <x:f>IFERROR(VLOOKUP(W176,'Adoption Methodology'!$A$5:$C$10,3,FALSE),"")</x:f>
        <x:v>≈1–5% of relevant market; prototypes, pilots or very early deployments</x:v>
      </x:c>
      <x:c r="Y176" s="300" t="n">
        <x:f>IF(OR(U176="",W176=""),"",W176-U176)</x:f>
        <x:v>0</x:v>
      </x:c>
      <x:c r="Z176" s="299" t="str">
        <x:f>IF(Y176="","",IF(Y176&gt;0,"Adoption increased",IF(Y176=0,"Broadly unchanged","Adoption maturity lower")))</x:f>
      </x:c>
      <x:c r="AA176" s="300" t="str">
        <x:f>IFERROR(VLOOKUP(Q176,'Adoption Methodology'!$F$5:$H$12,3,FALSE),"Medium")</x:f>
        <x:v>Medium</x:v>
      </x:c>
      <x:c r="AB176" s="299" t="str">
        <x:f>IFERROR(VLOOKUP(A176,'Adoption Methodology'!$K$5:$L$14,2,FALSE),IFERROR(VLOOKUP(B176,'Adoption Methodology'!$N$5:$O$16,2,FALSE),"https://www.gartner.com/en/information-technology/technology-adoption-roadmaps"))</x:f>
        <x:v>https://www.mckinsey.com/capabilities/tech-and-ai/our-insights/the-year-of-quantum-from-concept-to-reality-in-2025</x:v>
      </x:c>
      <x:c r="AC176" s="299" t="str">
        <x:f>IF(R176="","Modelled adoption maturity; see Adoption Methodology.",R176&amp;"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77">
      <x:c r="A177" s="299" t="str">
        <x:v>Real-Time Incident Center as a Service</x:v>
      </x:c>
      <x:c r="B177" s="299" t="str">
        <x:v>Business / Emerging Technology</x:v>
      </x:c>
      <x:c r="C177" s="300" t="str"/>
      <x:c r="D177" s="300" t="str"/>
      <x:c r="E177" s="300" t="str"/>
      <x:c r="F177" s="300" t="str"/>
      <x:c r="G177" s="300" t="str"/>
      <x:c r="H177" s="300" t="str">
        <x:v>IT</x:v>
      </x:c>
      <x:c r="I177" s="300" t="str"/>
      <x:c r="J177" s="300" t="str"/>
      <x:c r="K177" s="300" t="str"/>
      <x:c r="L177" s="300" t="str"/>
      <x:c r="M177" s="300" t="n">
        <x:f>COUNTIF(C177:L177,"IT")+COUNTIF(C177:L177,"PE")+COUNTIF(C177:L177,"TD")+COUNTIF(C177:L177,"SE")+COUNTIF(C177:L177,"PP")</x:f>
        <x:v>1</x:v>
      </x:c>
      <x:c r="N177" s="300" t="n">
        <x:f>IF(C177&lt;&gt;"",2016,IF(D177&lt;&gt;"",2017,IF(E177&lt;&gt;"",2018,IF(F177&lt;&gt;"",2019,IF(G177&lt;&gt;"",2020,IF(H177&lt;&gt;"",2021,IF(I177&lt;&gt;"",2022,IF(J177&lt;&gt;"",2023,IF(K177&lt;&gt;"",2024,IF(L177&lt;&gt;"",2025,""))))))))))</x:f>
        <x:v>2021</x:v>
      </x:c>
      <x:c r="O177" s="300" t="n">
        <x:f>IF(L177&lt;&gt;"",2025,IF(K177&lt;&gt;"",2024,IF(J177&lt;&gt;"",2023,IF(I177&lt;&gt;"",2022,IF(H177&lt;&gt;"",2021,IF(G177&lt;&gt;"",2020,IF(F177&lt;&gt;"",2019,IF(E177&lt;&gt;"",2018,IF(D177&lt;&gt;"",2017,IF(C177&lt;&gt;"",2016,""))))))))))</x:f>
        <x:v>2021</x:v>
      </x:c>
      <x:c r="P177" s="299" t="str">
        <x:v>Exited flagship; may continue on specialist Hype Cycles</x:v>
      </x:c>
      <x:c r="Q177" s="299" t="str">
        <x:v>Exited flagship / evolving</x:v>
      </x:c>
      <x:c r="R177" s="299" t="str">
        <x:v>The label left the flagship cycle; Gartner’s flagship is deliberately dynamic, so exit should not be read as failure without checking specialist Hype Cycles.</x:v>
      </x:c>
      <x:c r="S177" s="299" t="str"/>
      <x:c r="T177" s="300" t="str">
        <x:f>IFERROR(INDEX($C177:$L177,1,MATCH($N177,$C$4:$L$4,0)),"")</x:f>
        <x:v>IT</x:v>
      </x:c>
      <x:c r="U177" s="300" t="n">
        <x:f>IFERROR(VLOOKUP(T177,'Adoption Methodology'!$F$18:$G$22,2,FALSE),"")</x:f>
        <x:v>1</x:v>
      </x:c>
      <x:c r="V177" s="299" t="str">
        <x:f>IFERROR(VLOOKUP(U177,'Adoption Methodology'!$A$5:$C$10,3,FALSE),"")</x:f>
        <x:v>≈1–5% of relevant market; prototypes, pilots or very early deployments</x:v>
      </x:c>
      <x:c r="W177" s="300" t="n">
        <x:f>IFERROR(VLOOKUP(Q177,'Adoption Methodology'!$F$5:$H$12,2,FALSE),"")</x:f>
        <x:v>2</x:v>
      </x:c>
      <x:c r="X177" s="299" t="str">
        <x:f>IFERROR(VLOOKUP(W177,'Adoption Methodology'!$A$5:$C$10,3,FALSE),"")</x:f>
        <x:v>≈5–15% of relevant market; credible deployments but limited scale</x:v>
      </x:c>
      <x:c r="Y177" s="300" t="n">
        <x:f>IF(OR(U177="",W177=""),"",W177-U177)</x:f>
        <x:v>1</x:v>
      </x:c>
      <x:c r="Z177" s="299" t="str">
        <x:f>IF(Y177="","",IF(Y177&gt;0,"Adoption increased",IF(Y177=0,"Broadly unchanged","Adoption maturity lower")))</x:f>
        <x:v>Adoption increased</x:v>
      </x:c>
      <x:c r="AA177" s="300" t="str">
        <x:f>IFERROR(VLOOKUP(Q177,'Adoption Methodology'!$F$5:$H$12,3,FALSE),"Medium")</x:f>
        <x:v>Medium-Low</x:v>
      </x:c>
      <x:c r="AB177" s="299" t="str">
        <x:f>IFERROR(VLOOKUP(A177,'Adoption Methodology'!$K$5:$L$14,2,FALSE),IFERROR(VLOOKUP(B177,'Adoption Methodology'!$N$5:$O$16,2,FALSE),"https://www.gartner.com/en/information-technology/technology-adoption-roadmaps"))</x:f>
        <x:v>https://www.gartner.com/en/information-technology/technology-adoption-roadmaps</x:v>
      </x:c>
      <x:c r="AC177" s="299" t="str">
        <x:f>IF(R177="","Modelled adoption maturity; see Adoption Methodology.",R177&amp;"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78">
      <x:c r="A178" s="299" t="str">
        <x:v>Reinforcement Learning</x:v>
      </x:c>
      <x:c r="B178" s="299" t="str">
        <x:v>AI / Data / Analytics</x:v>
      </x:c>
      <x:c r="C178" s="300" t="str"/>
      <x:c r="D178" s="300" t="str"/>
      <x:c r="E178" s="300" t="str"/>
      <x:c r="F178" s="300" t="str"/>
      <x:c r="G178" s="300" t="str"/>
      <x:c r="H178" s="300" t="str"/>
      <x:c r="I178" s="300" t="str"/>
      <x:c r="J178" s="300" t="str">
        <x:v>IT</x:v>
      </x:c>
      <x:c r="K178" s="300" t="str">
        <x:v>IT</x:v>
      </x:c>
      <x:c r="L178" s="300" t="str"/>
      <x:c r="M178" s="300" t="n">
        <x:f>COUNTIF(C178:L178,"IT")+COUNTIF(C178:L178,"PE")+COUNTIF(C178:L178,"TD")+COUNTIF(C178:L178,"SE")+COUNTIF(C178:L178,"PP")</x:f>
        <x:v>2</x:v>
      </x:c>
      <x:c r="N178" s="300" t="n">
        <x:f>IF(C178&lt;&gt;"",2016,IF(D178&lt;&gt;"",2017,IF(E178&lt;&gt;"",2018,IF(F178&lt;&gt;"",2019,IF(G178&lt;&gt;"",2020,IF(H178&lt;&gt;"",2021,IF(I178&lt;&gt;"",2022,IF(J178&lt;&gt;"",2023,IF(K178&lt;&gt;"",2024,IF(L178&lt;&gt;"",2025,""))))))))))</x:f>
        <x:v>2023</x:v>
      </x:c>
      <x:c r="O178" s="300" t="n">
        <x:f>IF(L178&lt;&gt;"",2025,IF(K178&lt;&gt;"",2024,IF(J178&lt;&gt;"",2023,IF(I178&lt;&gt;"",2022,IF(H178&lt;&gt;"",2021,IF(G178&lt;&gt;"",2020,IF(F178&lt;&gt;"",2019,IF(E178&lt;&gt;"",2018,IF(D178&lt;&gt;"",2017,IF(C178&lt;&gt;"",2016,""))))))))))</x:f>
        <x:v>2024</x:v>
      </x:c>
      <x:c r="P178" s="299" t="str">
        <x:v>Exited flagship; may continue on specialist Hype Cycles</x:v>
      </x:c>
      <x:c r="Q178" s="299" t="str">
        <x:v>Established / mainstream</x:v>
      </x:c>
      <x:c r="R178" s="299" t="str">
        <x:v>By 2026 this capability is commercially established or embedded in mainstream enterprise/consumer technology, even if the original Gartner label is no longer prominent.</x:v>
      </x:c>
      <x:c r="S178" s="299" t="str"/>
      <x:c r="T178" s="300" t="str">
        <x:f>IFERROR(INDEX($C178:$L178,1,MATCH($N178,$C$4:$L$4,0)),"")</x:f>
        <x:v>IT</x:v>
      </x:c>
      <x:c r="U178" s="300" t="n">
        <x:f>IFERROR(VLOOKUP(T178,'Adoption Methodology'!$F$18:$G$22,2,FALSE),"")</x:f>
        <x:v>1</x:v>
      </x:c>
      <x:c r="V178" s="299" t="str">
        <x:f>IFERROR(VLOOKUP(U178,'Adoption Methodology'!$A$5:$C$10,3,FALSE),"")</x:f>
        <x:v>≈1–5% of relevant market; prototypes, pilots or very early deployments</x:v>
      </x:c>
      <x:c r="W178" s="300" t="n">
        <x:f>IFERROR(VLOOKUP(Q178,'Adoption Methodology'!$F$5:$H$12,2,FALSE),"")</x:f>
        <x:v>5</x:v>
      </x:c>
      <x:c r="X178" s="299" t="str">
        <x:f>IFERROR(VLOOKUP(W178,'Adoption Methodology'!$A$5:$C$10,3,FALSE),"")</x:f>
        <x:v>&gt;60% in leading/addressable segments, or effectively a standard/default capability</x:v>
      </x:c>
      <x:c r="Y178" s="300" t="n">
        <x:f>IF(OR(U178="",W178=""),"",W178-U178)</x:f>
        <x:v>4</x:v>
      </x:c>
      <x:c r="Z178" s="299" t="str">
        <x:f>IF(Y178="","",IF(Y178&gt;0,"Adoption increased",IF(Y178=0,"Broadly unchanged","Adoption maturity lower")))</x:f>
        <x:v>Adoption increased</x:v>
      </x:c>
      <x:c r="AA178" s="300" t="str">
        <x:f>IFERROR(VLOOKUP(Q178,'Adoption Methodology'!$F$5:$H$12,3,FALSE),"Medium")</x:f>
        <x:v>High</x:v>
      </x:c>
      <x:c r="AB178" s="299" t="str">
        <x:f>IFERROR(VLOOKUP(A178,'Adoption Methodology'!$K$5:$L$14,2,FALSE),IFERROR(VLOOKUP(B178,'Adoption Methodology'!$N$5:$O$16,2,FALSE),"https://www.gartner.com/en/information-technology/technology-adoption-roadmaps"))</x:f>
        <x:v>https://www.mckinsey.com/capabilities/quantumblack/our-insights/the-state-of-ai</x:v>
      </x:c>
      <x:c r="AC178" s="299" t="str">
        <x:f>IF(R178="","Modelled adoption maturity; see Adoption Methodology.",R178&amp;"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79">
      <x:c r="A179" s="299" t="str">
        <x:v>Resource-Positive Buildings</x:v>
      </x:c>
      <x:c r="B179" s="299" t="str">
        <x:v>Sustainability</x:v>
      </x:c>
      <x:c r="C179" s="300" t="str"/>
      <x:c r="D179" s="300" t="str"/>
      <x:c r="E179" s="300" t="str"/>
      <x:c r="F179" s="300" t="str"/>
      <x:c r="G179" s="300" t="str"/>
      <x:c r="H179" s="300" t="str"/>
      <x:c r="I179" s="300" t="str"/>
      <x:c r="J179" s="300" t="str"/>
      <x:c r="K179" s="300" t="str"/>
      <x:c r="L179" s="300" t="str">
        <x:v>IT</x:v>
      </x:c>
      <x:c r="M179" s="300" t="n">
        <x:f>COUNTIF(C179:L179,"IT")+COUNTIF(C179:L179,"PE")+COUNTIF(C179:L179,"TD")+COUNTIF(C179:L179,"SE")+COUNTIF(C179:L179,"PP")</x:f>
        <x:v>1</x:v>
      </x:c>
      <x:c r="N179" s="300" t="n">
        <x:f>IF(C179&lt;&gt;"",2016,IF(D179&lt;&gt;"",2017,IF(E179&lt;&gt;"",2018,IF(F179&lt;&gt;"",2019,IF(G179&lt;&gt;"",2020,IF(H179&lt;&gt;"",2021,IF(I179&lt;&gt;"",2022,IF(J179&lt;&gt;"",2023,IF(K179&lt;&gt;"",2024,IF(L179&lt;&gt;"",2025,""))))))))))</x:f>
        <x:v>2025</x:v>
      </x:c>
      <x:c r="O179" s="300" t="n">
        <x:f>IF(L179&lt;&gt;"",2025,IF(K179&lt;&gt;"",2024,IF(J179&lt;&gt;"",2023,IF(I179&lt;&gt;"",2022,IF(H179&lt;&gt;"",2021,IF(G179&lt;&gt;"",2020,IF(F179&lt;&gt;"",2019,IF(E179&lt;&gt;"",2018,IF(D179&lt;&gt;"",2017,IF(C179&lt;&gt;"",2016,""))))))))))</x:f>
        <x:v>2025</x:v>
      </x:c>
      <x:c r="P179" s="299" t="str">
        <x:v>Still on the 2025 flagship</x:v>
      </x:c>
      <x:c r="Q179" s="299" t="str">
        <x:v>Still emerging / evolving</x:v>
      </x:c>
      <x:c r="R179" s="299" t="str">
        <x:v>By 2026 the category is still evolving quickly; commercial adoption exists or is beginning, but maturity and durable ROI vary significantly.</x:v>
      </x:c>
      <x:c r="S179" s="299" t="str"/>
      <x:c r="T179" s="300" t="str">
        <x:f>IFERROR(INDEX($C179:$L179,1,MATCH($N179,$C$4:$L$4,0)),"")</x:f>
        <x:v>IT</x:v>
      </x:c>
      <x:c r="U179" s="300" t="n">
        <x:f>IFERROR(VLOOKUP(T179,'Adoption Methodology'!$F$18:$G$22,2,FALSE),"")</x:f>
        <x:v>1</x:v>
      </x:c>
      <x:c r="V179" s="299" t="str">
        <x:f>IFERROR(VLOOKUP(U179,'Adoption Methodology'!$A$5:$C$10,3,FALSE),"")</x:f>
        <x:v>≈1–5% of relevant market; prototypes, pilots or very early deployments</x:v>
      </x:c>
      <x:c r="W179" s="300" t="n">
        <x:f>IFERROR(VLOOKUP(Q179,'Adoption Methodology'!$F$5:$H$12,2,FALSE),"")</x:f>
        <x:v>2</x:v>
      </x:c>
      <x:c r="X179" s="299" t="str">
        <x:f>IFERROR(VLOOKUP(W179,'Adoption Methodology'!$A$5:$C$10,3,FALSE),"")</x:f>
        <x:v>≈5–15% of relevant market; credible deployments but limited scale</x:v>
      </x:c>
      <x:c r="Y179" s="300" t="n">
        <x:f>IF(OR(U179="",W179=""),"",W179-U179)</x:f>
        <x:v>1</x:v>
      </x:c>
      <x:c r="Z179" s="299" t="str">
        <x:f>IF(Y179="","",IF(Y179&gt;0,"Adoption increased",IF(Y179=0,"Broadly unchanged","Adoption maturity lower")))</x:f>
        <x:v>Adoption increased</x:v>
      </x:c>
      <x:c r="AA179" s="300" t="str">
        <x:f>IFERROR(VLOOKUP(Q179,'Adoption Methodology'!$F$5:$H$12,3,FALSE),"Medium")</x:f>
        <x:v>Medium</x:v>
      </x:c>
      <x:c r="AB179" s="299" t="str">
        <x:f>IFERROR(VLOOKUP(A179,'Adoption Methodology'!$K$5:$L$14,2,FALSE),IFERROR(VLOOKUP(B179,'Adoption Methodology'!$N$5:$O$16,2,FALSE),"https://www.gartner.com/en/information-technology/technology-adoption-roadmaps"))</x:f>
        <x:v>https://www.gartner.com/en/information-technology/technology-adoption-roadmaps</x:v>
      </x:c>
      <x:c r="AC179" s="299" t="str">
        <x:f>IF(R179="","Modelled adoption maturity; see Adoption Methodology.",R179&amp;"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80">
      <x:c r="A180" s="299" t="str">
        <x:v>Responsible AI</x:v>
      </x:c>
      <x:c r="B180" s="299" t="str">
        <x:v>AI / Data / Analytics</x:v>
      </x:c>
      <x:c r="C180" s="300" t="str"/>
      <x:c r="D180" s="300" t="str"/>
      <x:c r="E180" s="300" t="str"/>
      <x:c r="F180" s="300" t="str"/>
      <x:c r="G180" s="300" t="str">
        <x:v>IT</x:v>
      </x:c>
      <x:c r="H180" s="300" t="str"/>
      <x:c r="I180" s="300" t="str"/>
      <x:c r="J180" s="300" t="str"/>
      <x:c r="K180" s="300" t="str"/>
      <x:c r="L180" s="300" t="str"/>
      <x:c r="M180" s="300" t="n">
        <x:f>COUNTIF(C180:L180,"IT")+COUNTIF(C180:L180,"PE")+COUNTIF(C180:L180,"TD")+COUNTIF(C180:L180,"SE")+COUNTIF(C180:L180,"PP")</x:f>
        <x:v>1</x:v>
      </x:c>
      <x:c r="N180" s="300" t="n">
        <x:f>IF(C180&lt;&gt;"",2016,IF(D180&lt;&gt;"",2017,IF(E180&lt;&gt;"",2018,IF(F180&lt;&gt;"",2019,IF(G180&lt;&gt;"",2020,IF(H180&lt;&gt;"",2021,IF(I180&lt;&gt;"",2022,IF(J180&lt;&gt;"",2023,IF(K180&lt;&gt;"",2024,IF(L180&lt;&gt;"",2025,""))))))))))</x:f>
        <x:v>2020</x:v>
      </x:c>
      <x:c r="O180" s="300" t="n">
        <x:f>IF(L180&lt;&gt;"",2025,IF(K180&lt;&gt;"",2024,IF(J180&lt;&gt;"",2023,IF(I180&lt;&gt;"",2022,IF(H180&lt;&gt;"",2021,IF(G180&lt;&gt;"",2020,IF(F180&lt;&gt;"",2019,IF(E180&lt;&gt;"",2018,IF(D180&lt;&gt;"",2017,IF(C180&lt;&gt;"",2016,""))))))))))</x:f>
        <x:v>2020</x:v>
      </x:c>
      <x:c r="P180" s="299" t="str">
        <x:v>Exited flagship; may continue on specialist Hype Cycles</x:v>
      </x:c>
      <x:c r="Q180" s="299" t="str">
        <x:v>Exited flagship / specialist</x:v>
      </x:c>
      <x:c r="R180" s="299" t="str">
        <x:v>The label left the flagship cycle and is now best viewed as specialist, absorbed into adjacent categories, or lower-profile rather than a simple success/failure.</x:v>
      </x:c>
      <x:c r="S180" s="299" t="str"/>
      <x:c r="T180" s="300" t="str">
        <x:f>IFERROR(INDEX($C180:$L180,1,MATCH($N180,$C$4:$L$4,0)),"")</x:f>
        <x:v>IT</x:v>
      </x:c>
      <x:c r="U180" s="300" t="n">
        <x:f>IFERROR(VLOOKUP(T180,'Adoption Methodology'!$F$18:$G$22,2,FALSE),"")</x:f>
        <x:v>1</x:v>
      </x:c>
      <x:c r="V180" s="299" t="str">
        <x:f>IFERROR(VLOOKUP(U180,'Adoption Methodology'!$A$5:$C$10,3,FALSE),"")</x:f>
        <x:v>≈1–5% of relevant market; prototypes, pilots or very early deployments</x:v>
      </x:c>
      <x:c r="W180" s="300" t="n">
        <x:f>IFERROR(VLOOKUP(Q180,'Adoption Methodology'!$F$5:$H$12,2,FALSE),"")</x:f>
        <x:v>3</x:v>
      </x:c>
      <x:c r="X180" s="299" t="str">
        <x:f>IFERROR(VLOOKUP(W180,'Adoption Methodology'!$A$5:$C$10,3,FALSE),"")</x:f>
        <x:v>≈15–35% of relevant market, or capability absorbed into successor platforms</x:v>
      </x:c>
      <x:c r="Y180" s="300" t="n">
        <x:f>IF(OR(U180="",W180=""),"",W180-U180)</x:f>
        <x:v>2</x:v>
      </x:c>
      <x:c r="Z180" s="299" t="str">
        <x:f>IF(Y180="","",IF(Y180&gt;0,"Adoption increased",IF(Y180=0,"Broadly unchanged","Adoption maturity lower")))</x:f>
        <x:v>Adoption increased</x:v>
      </x:c>
      <x:c r="AA180" s="300" t="str">
        <x:f>IFERROR(VLOOKUP(Q180,'Adoption Methodology'!$F$5:$H$12,3,FALSE),"Medium")</x:f>
        <x:v>Medium</x:v>
      </x:c>
      <x:c r="AB180" s="299" t="str">
        <x:f>IFERROR(VLOOKUP(A180,'Adoption Methodology'!$K$5:$L$14,2,FALSE),IFERROR(VLOOKUP(B180,'Adoption Methodology'!$N$5:$O$16,2,FALSE),"https://www.gartner.com/en/information-technology/technology-adoption-roadmaps"))</x:f>
        <x:v>https://www.mckinsey.com/capabilities/quantumblack/our-insights/the-state-of-ai</x:v>
      </x:c>
      <x:c r="AC180" s="299" t="str">
        <x:f>IF(R180="","Modelled adoption maturity; see Adoption Methodology.",R180&amp;"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81">
      <x:c r="A181" s="299" t="str">
        <x:v>Secure Access Service Edge (SASE)</x:v>
      </x:c>
      <x:c r="B181" s="299" t="str">
        <x:v>Connectivity / Edge / IoT</x:v>
      </x:c>
      <x:c r="C181" s="300" t="str"/>
      <x:c r="D181" s="300" t="str"/>
      <x:c r="E181" s="300" t="str"/>
      <x:c r="F181" s="300" t="str"/>
      <x:c r="G181" s="300" t="str">
        <x:v>PE</x:v>
      </x:c>
      <x:c r="H181" s="300" t="str"/>
      <x:c r="I181" s="300" t="str"/>
      <x:c r="J181" s="300" t="str"/>
      <x:c r="K181" s="300" t="str"/>
      <x:c r="L181" s="300" t="str"/>
      <x:c r="M181" s="300" t="n">
        <x:f>COUNTIF(C181:L181,"IT")+COUNTIF(C181:L181,"PE")+COUNTIF(C181:L181,"TD")+COUNTIF(C181:L181,"SE")+COUNTIF(C181:L181,"PP")</x:f>
        <x:v>1</x:v>
      </x:c>
      <x:c r="N181" s="300" t="n">
        <x:f>IF(C181&lt;&gt;"",2016,IF(D181&lt;&gt;"",2017,IF(E181&lt;&gt;"",2018,IF(F181&lt;&gt;"",2019,IF(G181&lt;&gt;"",2020,IF(H181&lt;&gt;"",2021,IF(I181&lt;&gt;"",2022,IF(J181&lt;&gt;"",2023,IF(K181&lt;&gt;"",2024,IF(L181&lt;&gt;"",2025,""))))))))))</x:f>
        <x:v>2020</x:v>
      </x:c>
      <x:c r="O181" s="300" t="n">
        <x:f>IF(L181&lt;&gt;"",2025,IF(K181&lt;&gt;"",2024,IF(J181&lt;&gt;"",2023,IF(I181&lt;&gt;"",2022,IF(H181&lt;&gt;"",2021,IF(G181&lt;&gt;"",2020,IF(F181&lt;&gt;"",2019,IF(E181&lt;&gt;"",2018,IF(D181&lt;&gt;"",2017,IF(C181&lt;&gt;"",2016,""))))))))))</x:f>
        <x:v>2020</x:v>
      </x:c>
      <x:c r="P181" s="299" t="str">
        <x:v>Exited flagship; may continue on specialist Hype Cycles</x:v>
      </x:c>
      <x:c r="Q181" s="299" t="str">
        <x:v>Established / mainstream</x:v>
      </x:c>
      <x:c r="R181" s="299" t="str">
        <x:v>By 2026 this capability is commercially established or embedded in mainstream enterprise/consumer technology, even if the original Gartner label is no longer prominent.</x:v>
      </x:c>
      <x:c r="S181" s="299" t="str"/>
      <x:c r="T181" s="300" t="str">
        <x:f>IFERROR(INDEX($C181:$L181,1,MATCH($N181,$C$4:$L$4,0)),"")</x:f>
        <x:v>PE</x:v>
      </x:c>
      <x:c r="U181" s="300" t="n">
        <x:f>IFERROR(VLOOKUP(T181,'Adoption Methodology'!$F$18:$G$22,2,FALSE),"")</x:f>
        <x:v>2</x:v>
      </x:c>
      <x:c r="V181" s="299" t="str">
        <x:f>IFERROR(VLOOKUP(U181,'Adoption Methodology'!$A$5:$C$10,3,FALSE),"")</x:f>
        <x:v>≈5–15% of relevant market; credible deployments but limited scale</x:v>
      </x:c>
      <x:c r="W181" s="300" t="n">
        <x:f>IFERROR(VLOOKUP(Q181,'Adoption Methodology'!$F$5:$H$12,2,FALSE),"")</x:f>
        <x:v>5</x:v>
      </x:c>
      <x:c r="X181" s="299" t="str">
        <x:f>IFERROR(VLOOKUP(W181,'Adoption Methodology'!$A$5:$C$10,3,FALSE),"")</x:f>
        <x:v>&gt;60% in leading/addressable segments, or effectively a standard/default capability</x:v>
      </x:c>
      <x:c r="Y181" s="300" t="n">
        <x:f>IF(OR(U181="",W181=""),"",W181-U181)</x:f>
        <x:v>3</x:v>
      </x:c>
      <x:c r="Z181" s="299" t="str">
        <x:f>IF(Y181="","",IF(Y181&gt;0,"Adoption increased",IF(Y181=0,"Broadly unchanged","Adoption maturity lower")))</x:f>
        <x:v>Adoption increased</x:v>
      </x:c>
      <x:c r="AA181" s="300" t="str">
        <x:f>IFERROR(VLOOKUP(Q181,'Adoption Methodology'!$F$5:$H$12,3,FALSE),"Medium")</x:f>
        <x:v>High</x:v>
      </x:c>
      <x:c r="AB181" s="299" t="str">
        <x:f>IFERROR(VLOOKUP(A181,'Adoption Methodology'!$K$5:$L$14,2,FALSE),IFERROR(VLOOKUP(B181,'Adoption Methodology'!$N$5:$O$16,2,FALSE),"https://www.gartner.com/en/information-technology/technology-adoption-roadmaps"))</x:f>
        <x:v>https://www.gsma.com/about-us/regions/europe/gsma_resources/the-mobile-economy-2026/</x:v>
      </x:c>
      <x:c r="AC181" s="299" t="str">
        <x:f>IF(R181="","Modelled adoption maturity; see Adoption Methodology.",R181&amp;"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82">
      <x:c r="A182" s="299" t="str">
        <x:v>Self-Healing System Technology</x:v>
      </x:c>
      <x:c r="B182" s="299" t="str">
        <x:v>Business / Emerging Technology</x:v>
      </x:c>
      <x:c r="C182" s="300" t="str"/>
      <x:c r="D182" s="300" t="str"/>
      <x:c r="E182" s="300" t="str">
        <x:v>IT</x:v>
      </x:c>
      <x:c r="F182" s="300" t="str"/>
      <x:c r="G182" s="300" t="str"/>
      <x:c r="H182" s="300" t="str"/>
      <x:c r="I182" s="300" t="str"/>
      <x:c r="J182" s="300" t="str"/>
      <x:c r="K182" s="300" t="str"/>
      <x:c r="L182" s="300" t="str"/>
      <x:c r="M182" s="300" t="n">
        <x:f>COUNTIF(C182:L182,"IT")+COUNTIF(C182:L182,"PE")+COUNTIF(C182:L182,"TD")+COUNTIF(C182:L182,"SE")+COUNTIF(C182:L182,"PP")</x:f>
        <x:v>1</x:v>
      </x:c>
      <x:c r="N182" s="300" t="n">
        <x:f>IF(C182&lt;&gt;"",2016,IF(D182&lt;&gt;"",2017,IF(E182&lt;&gt;"",2018,IF(F182&lt;&gt;"",2019,IF(G182&lt;&gt;"",2020,IF(H182&lt;&gt;"",2021,IF(I182&lt;&gt;"",2022,IF(J182&lt;&gt;"",2023,IF(K182&lt;&gt;"",2024,IF(L182&lt;&gt;"",2025,""))))))))))</x:f>
        <x:v>2018</x:v>
      </x:c>
      <x:c r="O182" s="300" t="n">
        <x:f>IF(L182&lt;&gt;"",2025,IF(K182&lt;&gt;"",2024,IF(J182&lt;&gt;"",2023,IF(I182&lt;&gt;"",2022,IF(H182&lt;&gt;"",2021,IF(G182&lt;&gt;"",2020,IF(F182&lt;&gt;"",2019,IF(E182&lt;&gt;"",2018,IF(D182&lt;&gt;"",2017,IF(C182&lt;&gt;"",2016,""))))))))))</x:f>
        <x:v>2018</x:v>
      </x:c>
      <x:c r="P182" s="299" t="str">
        <x:v>Exited flagship; may continue on specialist Hype Cycles</x:v>
      </x:c>
      <x:c r="Q182" s="299" t="str">
        <x:v>Exited flagship / specialist</x:v>
      </x:c>
      <x:c r="R182" s="299" t="str">
        <x:v>The label left the flagship cycle and is now best viewed as specialist, absorbed into adjacent categories, or lower-profile rather than a simple success/failure.</x:v>
      </x:c>
      <x:c r="S182" s="299" t="str"/>
      <x:c r="T182" s="300" t="str">
        <x:f>IFERROR(INDEX($C182:$L182,1,MATCH($N182,$C$4:$L$4,0)),"")</x:f>
        <x:v>IT</x:v>
      </x:c>
      <x:c r="U182" s="300" t="n">
        <x:f>IFERROR(VLOOKUP(T182,'Adoption Methodology'!$F$18:$G$22,2,FALSE),"")</x:f>
        <x:v>1</x:v>
      </x:c>
      <x:c r="V182" s="299" t="str">
        <x:f>IFERROR(VLOOKUP(U182,'Adoption Methodology'!$A$5:$C$10,3,FALSE),"")</x:f>
        <x:v>≈1–5% of relevant market; prototypes, pilots or very early deployments</x:v>
      </x:c>
      <x:c r="W182" s="300" t="n">
        <x:f>IFERROR(VLOOKUP(Q182,'Adoption Methodology'!$F$5:$H$12,2,FALSE),"")</x:f>
        <x:v>3</x:v>
      </x:c>
      <x:c r="X182" s="299" t="str">
        <x:f>IFERROR(VLOOKUP(W182,'Adoption Methodology'!$A$5:$C$10,3,FALSE),"")</x:f>
        <x:v>≈15–35% of relevant market, or capability absorbed into successor platforms</x:v>
      </x:c>
      <x:c r="Y182" s="300" t="n">
        <x:f>IF(OR(U182="",W182=""),"",W182-U182)</x:f>
        <x:v>2</x:v>
      </x:c>
      <x:c r="Z182" s="299" t="str">
        <x:f>IF(Y182="","",IF(Y182&gt;0,"Adoption increased",IF(Y182=0,"Broadly unchanged","Adoption maturity lower")))</x:f>
        <x:v>Adoption increased</x:v>
      </x:c>
      <x:c r="AA182" s="300" t="str">
        <x:f>IFERROR(VLOOKUP(Q182,'Adoption Methodology'!$F$5:$H$12,3,FALSE),"Medium")</x:f>
        <x:v>Medium</x:v>
      </x:c>
      <x:c r="AB182" s="299" t="str">
        <x:f>IFERROR(VLOOKUP(A182,'Adoption Methodology'!$K$5:$L$14,2,FALSE),IFERROR(VLOOKUP(B182,'Adoption Methodology'!$N$5:$O$16,2,FALSE),"https://www.gartner.com/en/information-technology/technology-adoption-roadmaps"))</x:f>
        <x:v>https://www.gartner.com/en/information-technology/technology-adoption-roadmaps</x:v>
      </x:c>
      <x:c r="AC182" s="299" t="str">
        <x:f>IF(R182="","Modelled adoption maturity; see Adoption Methodology.",R182&amp;"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83">
      <x:c r="A183" s="299" t="str">
        <x:v>Self-Integrating Applications</x:v>
      </x:c>
      <x:c r="B183" s="299" t="str">
        <x:v>Business / Emerging Technology</x:v>
      </x:c>
      <x:c r="C183" s="300" t="str"/>
      <x:c r="D183" s="300" t="str"/>
      <x:c r="E183" s="300" t="str"/>
      <x:c r="F183" s="300" t="str"/>
      <x:c r="G183" s="300" t="str"/>
      <x:c r="H183" s="300" t="str">
        <x:v>IT</x:v>
      </x:c>
      <x:c r="I183" s="300" t="str"/>
      <x:c r="J183" s="300" t="str"/>
      <x:c r="K183" s="300" t="str"/>
      <x:c r="L183" s="300" t="str"/>
      <x:c r="M183" s="300" t="n">
        <x:f>COUNTIF(C183:L183,"IT")+COUNTIF(C183:L183,"PE")+COUNTIF(C183:L183,"TD")+COUNTIF(C183:L183,"SE")+COUNTIF(C183:L183,"PP")</x:f>
        <x:v>1</x:v>
      </x:c>
      <x:c r="N183" s="300" t="n">
        <x:f>IF(C183&lt;&gt;"",2016,IF(D183&lt;&gt;"",2017,IF(E183&lt;&gt;"",2018,IF(F183&lt;&gt;"",2019,IF(G183&lt;&gt;"",2020,IF(H183&lt;&gt;"",2021,IF(I183&lt;&gt;"",2022,IF(J183&lt;&gt;"",2023,IF(K183&lt;&gt;"",2024,IF(L183&lt;&gt;"",2025,""))))))))))</x:f>
        <x:v>2021</x:v>
      </x:c>
      <x:c r="O183" s="300" t="n">
        <x:f>IF(L183&lt;&gt;"",2025,IF(K183&lt;&gt;"",2024,IF(J183&lt;&gt;"",2023,IF(I183&lt;&gt;"",2022,IF(H183&lt;&gt;"",2021,IF(G183&lt;&gt;"",2020,IF(F183&lt;&gt;"",2019,IF(E183&lt;&gt;"",2018,IF(D183&lt;&gt;"",2017,IF(C183&lt;&gt;"",2016,""))))))))))</x:f>
        <x:v>2021</x:v>
      </x:c>
      <x:c r="P183" s="299" t="str">
        <x:v>Exited flagship; may continue on specialist Hype Cycles</x:v>
      </x:c>
      <x:c r="Q183" s="299" t="str">
        <x:v>Exited flagship / evolving</x:v>
      </x:c>
      <x:c r="R183" s="299" t="str">
        <x:v>The label left the flagship cycle; Gartner’s flagship is deliberately dynamic, so exit should not be read as failure without checking specialist Hype Cycles.</x:v>
      </x:c>
      <x:c r="S183" s="299" t="str"/>
      <x:c r="T183" s="300" t="str">
        <x:f>IFERROR(INDEX($C183:$L183,1,MATCH($N183,$C$4:$L$4,0)),"")</x:f>
        <x:v>IT</x:v>
      </x:c>
      <x:c r="U183" s="300" t="n">
        <x:f>IFERROR(VLOOKUP(T183,'Adoption Methodology'!$F$18:$G$22,2,FALSE),"")</x:f>
        <x:v>1</x:v>
      </x:c>
      <x:c r="V183" s="299" t="str">
        <x:f>IFERROR(VLOOKUP(U183,'Adoption Methodology'!$A$5:$C$10,3,FALSE),"")</x:f>
        <x:v>≈1–5% of relevant market; prototypes, pilots or very early deployments</x:v>
      </x:c>
      <x:c r="W183" s="300" t="n">
        <x:f>IFERROR(VLOOKUP(Q183,'Adoption Methodology'!$F$5:$H$12,2,FALSE),"")</x:f>
        <x:v>2</x:v>
      </x:c>
      <x:c r="X183" s="299" t="str">
        <x:f>IFERROR(VLOOKUP(W183,'Adoption Methodology'!$A$5:$C$10,3,FALSE),"")</x:f>
        <x:v>≈5–15% of relevant market; credible deployments but limited scale</x:v>
      </x:c>
      <x:c r="Y183" s="300" t="n">
        <x:f>IF(OR(U183="",W183=""),"",W183-U183)</x:f>
        <x:v>1</x:v>
      </x:c>
      <x:c r="Z183" s="299" t="str">
        <x:f>IF(Y183="","",IF(Y183&gt;0,"Adoption increased",IF(Y183=0,"Broadly unchanged","Adoption maturity lower")))</x:f>
        <x:v>Adoption increased</x:v>
      </x:c>
      <x:c r="AA183" s="300" t="str">
        <x:f>IFERROR(VLOOKUP(Q183,'Adoption Methodology'!$F$5:$H$12,3,FALSE),"Medium")</x:f>
        <x:v>Medium-Low</x:v>
      </x:c>
      <x:c r="AB183" s="299" t="str">
        <x:f>IFERROR(VLOOKUP(A183,'Adoption Methodology'!$K$5:$L$14,2,FALSE),IFERROR(VLOOKUP(B183,'Adoption Methodology'!$N$5:$O$16,2,FALSE),"https://www.gartner.com/en/information-technology/technology-adoption-roadmaps"))</x:f>
        <x:v>https://www.gartner.com/en/information-technology/technology-adoption-roadmaps</x:v>
      </x:c>
      <x:c r="AC183" s="299" t="str">
        <x:f>IF(R183="","Modelled adoption maturity; see Adoption Methodology.",R183&amp;" Adoption band is a modelled maturity estimate rather than a like-for-like market-share statistic.")</x:f>
        <x:v>The label left the flagship cycle; Gartner’s flagship is deliberately dynamic, so exit should not be read as failure without checking specialist Hype Cycles. Adoption band is a modelled maturity estimate rather than a like-for-like market-share statistic.</x:v>
      </x:c>
    </x:row>
    <x:row r="184">
      <x:c r="A184" s="299" t="str">
        <x:v>Self-Supervised Learning</x:v>
      </x:c>
      <x:c r="B184" s="299" t="str">
        <x:v>Business / Emerging Technology</x:v>
      </x:c>
      <x:c r="C184" s="300" t="str"/>
      <x:c r="D184" s="300" t="str"/>
      <x:c r="E184" s="300" t="str"/>
      <x:c r="F184" s="300" t="str"/>
      <x:c r="G184" s="300" t="str">
        <x:v>IT</x:v>
      </x:c>
      <x:c r="H184" s="300" t="str"/>
      <x:c r="I184" s="300" t="str"/>
      <x:c r="J184" s="300" t="str"/>
      <x:c r="K184" s="300" t="str"/>
      <x:c r="L184" s="300" t="str"/>
      <x:c r="M184" s="300" t="n">
        <x:f>COUNTIF(C184:L184,"IT")+COUNTIF(C184:L184,"PE")+COUNTIF(C184:L184,"TD")+COUNTIF(C184:L184,"SE")+COUNTIF(C184:L184,"PP")</x:f>
        <x:v>1</x:v>
      </x:c>
      <x:c r="N184" s="300" t="n">
        <x:f>IF(C184&lt;&gt;"",2016,IF(D184&lt;&gt;"",2017,IF(E184&lt;&gt;"",2018,IF(F184&lt;&gt;"",2019,IF(G184&lt;&gt;"",2020,IF(H184&lt;&gt;"",2021,IF(I184&lt;&gt;"",2022,IF(J184&lt;&gt;"",2023,IF(K184&lt;&gt;"",2024,IF(L184&lt;&gt;"",2025,""))))))))))</x:f>
        <x:v>2020</x:v>
      </x:c>
      <x:c r="O184" s="300" t="n">
        <x:f>IF(L184&lt;&gt;"",2025,IF(K184&lt;&gt;"",2024,IF(J184&lt;&gt;"",2023,IF(I184&lt;&gt;"",2022,IF(H184&lt;&gt;"",2021,IF(G184&lt;&gt;"",2020,IF(F184&lt;&gt;"",2019,IF(E184&lt;&gt;"",2018,IF(D184&lt;&gt;"",2017,IF(C184&lt;&gt;"",2016,""))))))))))</x:f>
        <x:v>2020</x:v>
      </x:c>
      <x:c r="P184" s="299" t="str">
        <x:v>Exited flagship; may continue on specialist Hype Cycles</x:v>
      </x:c>
      <x:c r="Q184" s="299" t="str">
        <x:v>Established / mainstream</x:v>
      </x:c>
      <x:c r="R184" s="299" t="str">
        <x:v>By 2026 this capability is commercially established or embedded in mainstream enterprise/consumer technology, even if the original Gartner label is no longer prominent.</x:v>
      </x:c>
      <x:c r="S184" s="299" t="str"/>
      <x:c r="T184" s="300" t="str">
        <x:f>IFERROR(INDEX($C184:$L184,1,MATCH($N184,$C$4:$L$4,0)),"")</x:f>
        <x:v>IT</x:v>
      </x:c>
      <x:c r="U184" s="300" t="n">
        <x:f>IFERROR(VLOOKUP(T184,'Adoption Methodology'!$F$18:$G$22,2,FALSE),"")</x:f>
        <x:v>1</x:v>
      </x:c>
      <x:c r="V184" s="299" t="str">
        <x:f>IFERROR(VLOOKUP(U184,'Adoption Methodology'!$A$5:$C$10,3,FALSE),"")</x:f>
        <x:v>≈1–5% of relevant market; prototypes, pilots or very early deployments</x:v>
      </x:c>
      <x:c r="W184" s="300" t="n">
        <x:f>IFERROR(VLOOKUP(Q184,'Adoption Methodology'!$F$5:$H$12,2,FALSE),"")</x:f>
        <x:v>5</x:v>
      </x:c>
      <x:c r="X184" s="299" t="str">
        <x:f>IFERROR(VLOOKUP(W184,'Adoption Methodology'!$A$5:$C$10,3,FALSE),"")</x:f>
        <x:v>&gt;60% in leading/addressable segments, or effectively a standard/default capability</x:v>
      </x:c>
      <x:c r="Y184" s="300" t="n">
        <x:f>IF(OR(U184="",W184=""),"",W184-U184)</x:f>
        <x:v>4</x:v>
      </x:c>
      <x:c r="Z184" s="299" t="str">
        <x:f>IF(Y184="","",IF(Y184&gt;0,"Adoption increased",IF(Y184=0,"Broadly unchanged","Adoption maturity lower")))</x:f>
        <x:v>Adoption increased</x:v>
      </x:c>
      <x:c r="AA184" s="300" t="str">
        <x:f>IFERROR(VLOOKUP(Q184,'Adoption Methodology'!$F$5:$H$12,3,FALSE),"Medium")</x:f>
        <x:v>High</x:v>
      </x:c>
      <x:c r="AB184" s="299" t="str">
        <x:f>IFERROR(VLOOKUP(A184,'Adoption Methodology'!$K$5:$L$14,2,FALSE),IFERROR(VLOOKUP(B184,'Adoption Methodology'!$N$5:$O$16,2,FALSE),"https://www.gartner.com/en/information-technology/technology-adoption-roadmaps"))</x:f>
        <x:v>https://www.gartner.com/en/information-technology/technology-adoption-roadmaps</x:v>
      </x:c>
      <x:c r="AC184" s="299" t="str">
        <x:f>IF(R184="","Modelled adoption maturity; see Adoption Methodology.",R184&amp;"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85">
      <x:c r="A185" s="299" t="str">
        <x:v>Serverless PaaS</x:v>
      </x:c>
      <x:c r="B185" s="299" t="str">
        <x:v>Cloud / Software Engineering</x:v>
      </x:c>
      <x:c r="C185" s="300" t="str"/>
      <x:c r="D185" s="300" t="str">
        <x:v>IT</x:v>
      </x:c>
      <x:c r="E185" s="300" t="str"/>
      <x:c r="F185" s="300" t="str"/>
      <x:c r="G185" s="300" t="str"/>
      <x:c r="H185" s="300" t="str"/>
      <x:c r="I185" s="300" t="str"/>
      <x:c r="J185" s="300" t="str"/>
      <x:c r="K185" s="300" t="str"/>
      <x:c r="L185" s="300" t="str"/>
      <x:c r="M185" s="300" t="n">
        <x:f>COUNTIF(C185:L185,"IT")+COUNTIF(C185:L185,"PE")+COUNTIF(C185:L185,"TD")+COUNTIF(C185:L185,"SE")+COUNTIF(C185:L185,"PP")</x:f>
        <x:v>1</x:v>
      </x:c>
      <x:c r="N185" s="300" t="n">
        <x:f>IF(C185&lt;&gt;"",2016,IF(D185&lt;&gt;"",2017,IF(E185&lt;&gt;"",2018,IF(F185&lt;&gt;"",2019,IF(G185&lt;&gt;"",2020,IF(H185&lt;&gt;"",2021,IF(I185&lt;&gt;"",2022,IF(J185&lt;&gt;"",2023,IF(K185&lt;&gt;"",2024,IF(L185&lt;&gt;"",2025,""))))))))))</x:f>
        <x:v>2017</x:v>
      </x:c>
      <x:c r="O185" s="300" t="n">
        <x:f>IF(L185&lt;&gt;"",2025,IF(K185&lt;&gt;"",2024,IF(J185&lt;&gt;"",2023,IF(I185&lt;&gt;"",2022,IF(H185&lt;&gt;"",2021,IF(G185&lt;&gt;"",2020,IF(F185&lt;&gt;"",2019,IF(E185&lt;&gt;"",2018,IF(D185&lt;&gt;"",2017,IF(C185&lt;&gt;"",2016,""))))))))))</x:f>
        <x:v>2017</x:v>
      </x:c>
      <x:c r="P185" s="299" t="str">
        <x:v>Exited flagship; may continue on specialist Hype Cycles</x:v>
      </x:c>
      <x:c r="Q185" s="299" t="str">
        <x:v>Established / mainstream</x:v>
      </x:c>
      <x:c r="R185" s="299" t="str">
        <x:v>By 2026 this capability is commercially established or embedded in mainstream enterprise/consumer technology, even if the original Gartner label is no longer prominent.</x:v>
      </x:c>
      <x:c r="S185" s="299" t="str"/>
      <x:c r="T185" s="300" t="str">
        <x:f>IFERROR(INDEX($C185:$L185,1,MATCH($N185,$C$4:$L$4,0)),"")</x:f>
        <x:v>IT</x:v>
      </x:c>
      <x:c r="U185" s="300" t="n">
        <x:f>IFERROR(VLOOKUP(T185,'Adoption Methodology'!$F$18:$G$22,2,FALSE),"")</x:f>
        <x:v>1</x:v>
      </x:c>
      <x:c r="V185" s="299" t="str">
        <x:f>IFERROR(VLOOKUP(U185,'Adoption Methodology'!$A$5:$C$10,3,FALSE),"")</x:f>
        <x:v>≈1–5% of relevant market; prototypes, pilots or very early deployments</x:v>
      </x:c>
      <x:c r="W185" s="300" t="n">
        <x:f>IFERROR(VLOOKUP(Q185,'Adoption Methodology'!$F$5:$H$12,2,FALSE),"")</x:f>
        <x:v>5</x:v>
      </x:c>
      <x:c r="X185" s="299" t="str">
        <x:f>IFERROR(VLOOKUP(W185,'Adoption Methodology'!$A$5:$C$10,3,FALSE),"")</x:f>
        <x:v>&gt;60% in leading/addressable segments, or effectively a standard/default capability</x:v>
      </x:c>
      <x:c r="Y185" s="300" t="n">
        <x:f>IF(OR(U185="",W185=""),"",W185-U185)</x:f>
        <x:v>4</x:v>
      </x:c>
      <x:c r="Z185" s="299" t="str">
        <x:f>IF(Y185="","",IF(Y185&gt;0,"Adoption increased",IF(Y185=0,"Broadly unchanged","Adoption maturity lower")))</x:f>
        <x:v>Adoption increased</x:v>
      </x:c>
      <x:c r="AA185" s="300" t="str">
        <x:f>IFERROR(VLOOKUP(Q185,'Adoption Methodology'!$F$5:$H$12,3,FALSE),"Medium")</x:f>
        <x:v>High</x:v>
      </x:c>
      <x:c r="AB185" s="299" t="str">
        <x:f>IFERROR(VLOOKUP(A185,'Adoption Methodology'!$K$5:$L$14,2,FALSE),IFERROR(VLOOKUP(B185,'Adoption Methodology'!$N$5:$O$16,2,FALSE),"https://www.gartner.com/en/information-technology/technology-adoption-roadmaps"))</x:f>
        <x:v>https://www.cncf.io/reports/the-cncf-annual-cloud-native-survey/</x:v>
      </x:c>
      <x:c r="AC185" s="299" t="str">
        <x:f>IF(R185="","Modelled adoption maturity; see Adoption Methodology.",R185&amp;"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186">
      <x:c r="A186" s="299" t="str">
        <x:v>Silicon Anode Batteries</x:v>
      </x:c>
      <x:c r="B186" s="299" t="str">
        <x:v>Materials / Bio / Physical</x:v>
      </x:c>
      <x:c r="C186" s="300" t="str"/>
      <x:c r="D186" s="300" t="str"/>
      <x:c r="E186" s="300" t="str">
        <x:v>PE</x:v>
      </x:c>
      <x:c r="F186" s="300" t="str"/>
      <x:c r="G186" s="300" t="str"/>
      <x:c r="H186" s="300" t="str"/>
      <x:c r="I186" s="300" t="str"/>
      <x:c r="J186" s="300" t="str"/>
      <x:c r="K186" s="300" t="str"/>
      <x:c r="L186" s="300" t="str"/>
      <x:c r="M186" s="300" t="n">
        <x:f>COUNTIF(C186:L186,"IT")+COUNTIF(C186:L186,"PE")+COUNTIF(C186:L186,"TD")+COUNTIF(C186:L186,"SE")+COUNTIF(C186:L186,"PP")</x:f>
        <x:v>1</x:v>
      </x:c>
      <x:c r="N186" s="300" t="n">
        <x:f>IF(C186&lt;&gt;"",2016,IF(D186&lt;&gt;"",2017,IF(E186&lt;&gt;"",2018,IF(F186&lt;&gt;"",2019,IF(G186&lt;&gt;"",2020,IF(H186&lt;&gt;"",2021,IF(I186&lt;&gt;"",2022,IF(J186&lt;&gt;"",2023,IF(K186&lt;&gt;"",2024,IF(L186&lt;&gt;"",2025,""))))))))))</x:f>
        <x:v>2018</x:v>
      </x:c>
      <x:c r="O186" s="300" t="n">
        <x:f>IF(L186&lt;&gt;"",2025,IF(K186&lt;&gt;"",2024,IF(J186&lt;&gt;"",2023,IF(I186&lt;&gt;"",2022,IF(H186&lt;&gt;"",2021,IF(G186&lt;&gt;"",2020,IF(F186&lt;&gt;"",2019,IF(E186&lt;&gt;"",2018,IF(D186&lt;&gt;"",2017,IF(C186&lt;&gt;"",2016,""))))))))))</x:f>
        <x:v>2018</x:v>
      </x:c>
      <x:c r="P186" s="299" t="str">
        <x:v>Exited flagship; may continue on specialist Hype Cycles</x:v>
      </x:c>
      <x:c r="Q186" s="299" t="str">
        <x:v>Still emerging / long-horizon</x:v>
      </x:c>
      <x:c r="R186" s="299" t="str">
        <x:v>By 2026 the technology remains emerging, research-heavy or constrained by economics, engineering, regulation or deployment scale.</x:v>
      </x:c>
      <x:c r="S186" s="299" t="str"/>
      <x:c r="T186" s="300" t="str">
        <x:f>IFERROR(INDEX($C186:$L186,1,MATCH($N186,$C$4:$L$4,0)),"")</x:f>
        <x:v>PE</x:v>
      </x:c>
      <x:c r="U186" s="300" t="n">
        <x:f>IFERROR(VLOOKUP(T186,'Adoption Methodology'!$F$18:$G$22,2,FALSE),"")</x:f>
        <x:v>2</x:v>
      </x:c>
      <x:c r="V186" s="299" t="str">
        <x:f>IFERROR(VLOOKUP(U186,'Adoption Methodology'!$A$5:$C$10,3,FALSE),"")</x:f>
        <x:v>≈5–15% of relevant market; credible deployments but limited scale</x:v>
      </x:c>
      <x:c r="W186" s="300" t="n">
        <x:f>IFERROR(VLOOKUP(Q186,'Adoption Methodology'!$F$5:$H$12,2,FALSE),"")</x:f>
        <x:v>1</x:v>
      </x:c>
      <x:c r="X186" s="299" t="str">
        <x:f>IFERROR(VLOOKUP(W186,'Adoption Methodology'!$A$5:$C$10,3,FALSE),"")</x:f>
        <x:v>≈1–5% of relevant market; prototypes, pilots or very early deployments</x:v>
      </x:c>
      <x:c r="Y186" s="300" t="n">
        <x:f>IF(OR(U186="",W186=""),"",W186-U186)</x:f>
        <x:v>-1</x:v>
      </x:c>
      <x:c r="Z186" s="299" t="str">
        <x:f>IF(Y186="","",IF(Y186&gt;0,"Adoption increased",IF(Y186=0,"Broadly unchanged","Adoption maturity lower")))</x:f>
        <x:v>Adoption maturity lower</x:v>
      </x:c>
      <x:c r="AA186" s="300" t="str">
        <x:f>IFERROR(VLOOKUP(Q186,'Adoption Methodology'!$F$5:$H$12,3,FALSE),"Medium")</x:f>
        <x:v>Medium</x:v>
      </x:c>
      <x:c r="AB186" s="299" t="str">
        <x:f>IFERROR(VLOOKUP(A186,'Adoption Methodology'!$K$5:$L$14,2,FALSE),IFERROR(VLOOKUP(B186,'Adoption Methodology'!$N$5:$O$16,2,FALSE),"https://www.gartner.com/en/information-technology/technology-adoption-roadmaps"))</x:f>
        <x:v>https://www.gartner.com/en/information-technology/technology-adoption-roadmaps</x:v>
      </x:c>
      <x:c r="AC186" s="299" t="str">
        <x:f>IF(R186="","Modelled adoption maturity; see Adoption Methodology.",R186&amp;"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87">
      <x:c r="A187" s="299" t="str">
        <x:v>Small Data</x:v>
      </x:c>
      <x:c r="B187" s="299" t="str">
        <x:v>Business / Emerging Technology</x:v>
      </x:c>
      <x:c r="C187" s="300" t="str"/>
      <x:c r="D187" s="300" t="str"/>
      <x:c r="E187" s="300" t="str"/>
      <x:c r="F187" s="300" t="str"/>
      <x:c r="G187" s="300" t="str">
        <x:v>IT</x:v>
      </x:c>
      <x:c r="H187" s="300" t="str"/>
      <x:c r="I187" s="300" t="str"/>
      <x:c r="J187" s="300" t="str"/>
      <x:c r="K187" s="300" t="str"/>
      <x:c r="L187" s="300" t="str"/>
      <x:c r="M187" s="300" t="n">
        <x:f>COUNTIF(C187:L187,"IT")+COUNTIF(C187:L187,"PE")+COUNTIF(C187:L187,"TD")+COUNTIF(C187:L187,"SE")+COUNTIF(C187:L187,"PP")</x:f>
        <x:v>1</x:v>
      </x:c>
      <x:c r="N187" s="300" t="n">
        <x:f>IF(C187&lt;&gt;"",2016,IF(D187&lt;&gt;"",2017,IF(E187&lt;&gt;"",2018,IF(F187&lt;&gt;"",2019,IF(G187&lt;&gt;"",2020,IF(H187&lt;&gt;"",2021,IF(I187&lt;&gt;"",2022,IF(J187&lt;&gt;"",2023,IF(K187&lt;&gt;"",2024,IF(L187&lt;&gt;"",2025,""))))))))))</x:f>
        <x:v>2020</x:v>
      </x:c>
      <x:c r="O187" s="300" t="n">
        <x:f>IF(L187&lt;&gt;"",2025,IF(K187&lt;&gt;"",2024,IF(J187&lt;&gt;"",2023,IF(I187&lt;&gt;"",2022,IF(H187&lt;&gt;"",2021,IF(G187&lt;&gt;"",2020,IF(F187&lt;&gt;"",2019,IF(E187&lt;&gt;"",2018,IF(D187&lt;&gt;"",2017,IF(C187&lt;&gt;"",2016,""))))))))))</x:f>
        <x:v>2020</x:v>
      </x:c>
      <x:c r="P187" s="299" t="str">
        <x:v>Exited flagship; may continue on specialist Hype Cycles</x:v>
      </x:c>
      <x:c r="Q187" s="299" t="str">
        <x:v>Exited flagship / specialist</x:v>
      </x:c>
      <x:c r="R187" s="299" t="str">
        <x:v>The label left the flagship cycle and is now best viewed as specialist, absorbed into adjacent categories, or lower-profile rather than a simple success/failure.</x:v>
      </x:c>
      <x:c r="S187" s="299" t="str"/>
      <x:c r="T187" s="300" t="str">
        <x:f>IFERROR(INDEX($C187:$L187,1,MATCH($N187,$C$4:$L$4,0)),"")</x:f>
        <x:v>IT</x:v>
      </x:c>
      <x:c r="U187" s="300" t="n">
        <x:f>IFERROR(VLOOKUP(T187,'Adoption Methodology'!$F$18:$G$22,2,FALSE),"")</x:f>
        <x:v>1</x:v>
      </x:c>
      <x:c r="V187" s="299" t="str">
        <x:f>IFERROR(VLOOKUP(U187,'Adoption Methodology'!$A$5:$C$10,3,FALSE),"")</x:f>
        <x:v>≈1–5% of relevant market; prototypes, pilots or very early deployments</x:v>
      </x:c>
      <x:c r="W187" s="300" t="n">
        <x:f>IFERROR(VLOOKUP(Q187,'Adoption Methodology'!$F$5:$H$12,2,FALSE),"")</x:f>
        <x:v>3</x:v>
      </x:c>
      <x:c r="X187" s="299" t="str">
        <x:f>IFERROR(VLOOKUP(W187,'Adoption Methodology'!$A$5:$C$10,3,FALSE),"")</x:f>
        <x:v>≈15–35% of relevant market, or capability absorbed into successor platforms</x:v>
      </x:c>
      <x:c r="Y187" s="300" t="n">
        <x:f>IF(OR(U187="",W187=""),"",W187-U187)</x:f>
        <x:v>2</x:v>
      </x:c>
      <x:c r="Z187" s="299" t="str">
        <x:f>IF(Y187="","",IF(Y187&gt;0,"Adoption increased",IF(Y187=0,"Broadly unchanged","Adoption maturity lower")))</x:f>
        <x:v>Adoption increased</x:v>
      </x:c>
      <x:c r="AA187" s="300" t="str">
        <x:f>IFERROR(VLOOKUP(Q187,'Adoption Methodology'!$F$5:$H$12,3,FALSE),"Medium")</x:f>
        <x:v>Medium</x:v>
      </x:c>
      <x:c r="AB187" s="299" t="str">
        <x:f>IFERROR(VLOOKUP(A187,'Adoption Methodology'!$K$5:$L$14,2,FALSE),IFERROR(VLOOKUP(B187,'Adoption Methodology'!$N$5:$O$16,2,FALSE),"https://www.gartner.com/en/information-technology/technology-adoption-roadmaps"))</x:f>
        <x:v>https://www.gartner.com/en/information-technology/technology-adoption-roadmaps</x:v>
      </x:c>
      <x:c r="AC187" s="299" t="str">
        <x:f>IF(R187="","Modelled adoption maturity; see Adoption Methodology.",R187&amp;" Adoption band is a modelled maturity estimate rather than a like-for-like market-share statistic.")</x:f>
        <x:v>The label left the flagship cycle and is now best viewed as specialist, absorbed into adjacent categories, or lower-profile rather than a simple success/failure. Adoption band is a modelled maturity estimate rather than a like-for-like market-share statistic.</x:v>
      </x:c>
    </x:row>
    <x:row r="188">
      <x:c r="A188" s="299" t="str">
        <x:v>Smart Data Discovery</x:v>
      </x:c>
      <x:c r="B188" s="299" t="str">
        <x:v>Business / Emerging Technology</x:v>
      </x:c>
      <x:c r="C188" s="300" t="str">
        <x:v>IT</x:v>
      </x:c>
      <x:c r="D188" s="300" t="str"/>
      <x:c r="E188" s="300" t="str"/>
      <x:c r="F188" s="300" t="str"/>
      <x:c r="G188" s="300" t="str"/>
      <x:c r="H188" s="300" t="str"/>
      <x:c r="I188" s="300" t="str"/>
      <x:c r="J188" s="300" t="str"/>
      <x:c r="K188" s="300" t="str"/>
      <x:c r="L188" s="300" t="str"/>
      <x:c r="M188" s="300" t="n">
        <x:f>COUNTIF(C188:L188,"IT")+COUNTIF(C188:L188,"PE")+COUNTIF(C188:L188,"TD")+COUNTIF(C188:L188,"SE")+COUNTIF(C188:L188,"PP")</x:f>
        <x:v>1</x:v>
      </x:c>
      <x:c r="N188" s="300" t="n">
        <x:f>IF(C188&lt;&gt;"",2016,IF(D188&lt;&gt;"",2017,IF(E188&lt;&gt;"",2018,IF(F188&lt;&gt;"",2019,IF(G188&lt;&gt;"",2020,IF(H188&lt;&gt;"",2021,IF(I188&lt;&gt;"",2022,IF(J188&lt;&gt;"",2023,IF(K188&lt;&gt;"",2024,IF(L188&lt;&gt;"",2025,""))))))))))</x:f>
        <x:v>2016</x:v>
      </x:c>
      <x:c r="O188" s="300" t="n">
        <x:f>IF(L188&lt;&gt;"",2025,IF(K188&lt;&gt;"",2024,IF(J188&lt;&gt;"",2023,IF(I188&lt;&gt;"",2022,IF(H188&lt;&gt;"",2021,IF(G188&lt;&gt;"",2020,IF(F188&lt;&gt;"",2019,IF(E188&lt;&gt;"",2018,IF(D188&lt;&gt;"",2017,IF(C188&lt;&gt;"",2016,""))))))))))</x:f>
        <x:v>2016</x:v>
      </x:c>
      <x:c r="P188" s="299" t="str">
        <x:v>Exited flagship; may continue on specialist Hype Cycles</x:v>
      </x:c>
      <x:c r="Q188" s="299" t="str">
        <x:v>Hype cooled / niche</x:v>
      </x:c>
      <x:c r="R188" s="299" t="str">
        <x:v>By 2026 the original hype has materially cooled; use persists in narrower or redefined applications rather than the broad promise implied at peak.</x:v>
      </x:c>
      <x:c r="S188" s="299" t="str"/>
      <x:c r="T188" s="300" t="str">
        <x:f>IFERROR(INDEX($C188:$L188,1,MATCH($N188,$C$4:$L$4,0)),"")</x:f>
        <x:v>IT</x:v>
      </x:c>
      <x:c r="U188" s="300" t="n">
        <x:f>IFERROR(VLOOKUP(T188,'Adoption Methodology'!$F$18:$G$22,2,FALSE),"")</x:f>
        <x:v>1</x:v>
      </x:c>
      <x:c r="V188" s="299" t="str">
        <x:f>IFERROR(VLOOKUP(U188,'Adoption Methodology'!$A$5:$C$10,3,FALSE),"")</x:f>
        <x:v>≈1–5% of relevant market; prototypes, pilots or very early deployments</x:v>
      </x:c>
      <x:c r="W188" s="300" t="n">
        <x:f>IFERROR(VLOOKUP(Q188,'Adoption Methodology'!$F$5:$H$12,2,FALSE),"")</x:f>
        <x:v>2</x:v>
      </x:c>
      <x:c r="X188" s="299" t="str">
        <x:f>IFERROR(VLOOKUP(W188,'Adoption Methodology'!$A$5:$C$10,3,FALSE),"")</x:f>
        <x:v>≈5–15% of relevant market; credible deployments but limited scale</x:v>
      </x:c>
      <x:c r="Y188" s="300" t="n">
        <x:f>IF(OR(U188="",W188=""),"",W188-U188)</x:f>
        <x:v>1</x:v>
      </x:c>
      <x:c r="Z188" s="299" t="str">
        <x:f>IF(Y188="","",IF(Y188&gt;0,"Adoption increased",IF(Y188=0,"Broadly unchanged","Adoption maturity lower")))</x:f>
        <x:v>Adoption increased</x:v>
      </x:c>
      <x:c r="AA188" s="300" t="str">
        <x:f>IFERROR(VLOOKUP(Q188,'Adoption Methodology'!$F$5:$H$12,3,FALSE),"Medium")</x:f>
        <x:v>Medium</x:v>
      </x:c>
      <x:c r="AB188" s="299" t="str">
        <x:f>IFERROR(VLOOKUP(A188,'Adoption Methodology'!$K$5:$L$14,2,FALSE),IFERROR(VLOOKUP(B188,'Adoption Methodology'!$N$5:$O$16,2,FALSE),"https://www.gartner.com/en/information-technology/technology-adoption-roadmaps"))</x:f>
        <x:v>https://www.gartner.com/en/information-technology/technology-adoption-roadmaps</x:v>
      </x:c>
      <x:c r="AC188" s="299" t="str">
        <x:f>IF(R188="","Modelled adoption maturity; see Adoption Methodology.",R188&amp;"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89">
      <x:c r="A189" s="299" t="str">
        <x:v>Smart Dust</x:v>
      </x:c>
      <x:c r="B189" s="299" t="str">
        <x:v>Materials / Bio / Physical</x:v>
      </x:c>
      <x:c r="C189" s="300" t="str">
        <x:v>IT</x:v>
      </x:c>
      <x:c r="D189" s="300" t="str">
        <x:v>IT</x:v>
      </x:c>
      <x:c r="E189" s="300" t="str">
        <x:v>IT</x:v>
      </x:c>
      <x:c r="F189" s="300" t="str"/>
      <x:c r="G189" s="300" t="str"/>
      <x:c r="H189" s="300" t="str"/>
      <x:c r="I189" s="300" t="str"/>
      <x:c r="J189" s="300" t="str"/>
      <x:c r="K189" s="300" t="str"/>
      <x:c r="L189" s="300" t="str"/>
      <x:c r="M189" s="300" t="n">
        <x:f>COUNTIF(C189:L189,"IT")+COUNTIF(C189:L189,"PE")+COUNTIF(C189:L189,"TD")+COUNTIF(C189:L189,"SE")+COUNTIF(C189:L189,"PP")</x:f>
        <x:v>3</x:v>
      </x:c>
      <x:c r="N189" s="300" t="n">
        <x:f>IF(C189&lt;&gt;"",2016,IF(D189&lt;&gt;"",2017,IF(E189&lt;&gt;"",2018,IF(F189&lt;&gt;"",2019,IF(G189&lt;&gt;"",2020,IF(H189&lt;&gt;"",2021,IF(I189&lt;&gt;"",2022,IF(J189&lt;&gt;"",2023,IF(K189&lt;&gt;"",2024,IF(L189&lt;&gt;"",2025,""))))))))))</x:f>
        <x:v>2016</x:v>
      </x:c>
      <x:c r="O189" s="300" t="n">
        <x:f>IF(L189&lt;&gt;"",2025,IF(K189&lt;&gt;"",2024,IF(J189&lt;&gt;"",2023,IF(I189&lt;&gt;"",2022,IF(H189&lt;&gt;"",2021,IF(G189&lt;&gt;"",2020,IF(F189&lt;&gt;"",2019,IF(E189&lt;&gt;"",2018,IF(D189&lt;&gt;"",2017,IF(C189&lt;&gt;"",2016,""))))))))))</x:f>
        <x:v>2018</x:v>
      </x:c>
      <x:c r="P189" s="299" t="str">
        <x:v>Exited flagship; may continue on specialist Hype Cycles</x:v>
      </x:c>
      <x:c r="Q189" s="299" t="str">
        <x:v>Still emerging / long-horizon</x:v>
      </x:c>
      <x:c r="R189" s="299" t="str">
        <x:v>By 2026 the technology remains emerging, research-heavy or constrained by economics, engineering, regulation or deployment scale.</x:v>
      </x:c>
      <x:c r="S189" s="299" t="str"/>
      <x:c r="T189" s="300" t="str">
        <x:f>IFERROR(INDEX($C189:$L189,1,MATCH($N189,$C$4:$L$4,0)),"")</x:f>
        <x:v>IT</x:v>
      </x:c>
      <x:c r="U189" s="300" t="n">
        <x:f>IFERROR(VLOOKUP(T189,'Adoption Methodology'!$F$18:$G$22,2,FALSE),"")</x:f>
        <x:v>1</x:v>
      </x:c>
      <x:c r="V189" s="299" t="str">
        <x:f>IFERROR(VLOOKUP(U189,'Adoption Methodology'!$A$5:$C$10,3,FALSE),"")</x:f>
        <x:v>≈1–5% of relevant market; prototypes, pilots or very early deployments</x:v>
      </x:c>
      <x:c r="W189" s="300" t="n">
        <x:f>IFERROR(VLOOKUP(Q189,'Adoption Methodology'!$F$5:$H$12,2,FALSE),"")</x:f>
        <x:v>1</x:v>
      </x:c>
      <x:c r="X189" s="299" t="str">
        <x:f>IFERROR(VLOOKUP(W189,'Adoption Methodology'!$A$5:$C$10,3,FALSE),"")</x:f>
        <x:v>≈1–5% of relevant market; prototypes, pilots or very early deployments</x:v>
      </x:c>
      <x:c r="Y189" s="300" t="n">
        <x:f>IF(OR(U189="",W189=""),"",W189-U189)</x:f>
        <x:v>0</x:v>
      </x:c>
      <x:c r="Z189" s="299" t="str">
        <x:f>IF(Y189="","",IF(Y189&gt;0,"Adoption increased",IF(Y189=0,"Broadly unchanged","Adoption maturity lower")))</x:f>
      </x:c>
      <x:c r="AA189" s="300" t="str">
        <x:f>IFERROR(VLOOKUP(Q189,'Adoption Methodology'!$F$5:$H$12,3,FALSE),"Medium")</x:f>
        <x:v>Medium</x:v>
      </x:c>
      <x:c r="AB189" s="299" t="str">
        <x:f>IFERROR(VLOOKUP(A189,'Adoption Methodology'!$K$5:$L$14,2,FALSE),IFERROR(VLOOKUP(B189,'Adoption Methodology'!$N$5:$O$16,2,FALSE),"https://www.gartner.com/en/information-technology/technology-adoption-roadmaps"))</x:f>
        <x:v>https://www.gartner.com/en/information-technology/technology-adoption-roadmaps</x:v>
      </x:c>
      <x:c r="AC189" s="299" t="str">
        <x:f>IF(R189="","Modelled adoption maturity; see Adoption Methodology.",R189&amp;"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190">
      <x:c r="A190" s="299" t="str">
        <x:v>Smart Fabrics</x:v>
      </x:c>
      <x:c r="B190" s="299" t="str">
        <x:v>Materials / Bio / Physical</x:v>
      </x:c>
      <x:c r="C190" s="300" t="str"/>
      <x:c r="D190" s="300" t="str"/>
      <x:c r="E190" s="300" t="str">
        <x:v>TD</x:v>
      </x:c>
      <x:c r="F190" s="300" t="str"/>
      <x:c r="G190" s="300" t="str"/>
      <x:c r="H190" s="300" t="str"/>
      <x:c r="I190" s="300" t="str"/>
      <x:c r="J190" s="300" t="str"/>
      <x:c r="K190" s="300" t="str"/>
      <x:c r="L190" s="300" t="str"/>
      <x:c r="M190" s="300" t="n">
        <x:f>COUNTIF(C190:L190,"IT")+COUNTIF(C190:L190,"PE")+COUNTIF(C190:L190,"TD")+COUNTIF(C190:L190,"SE")+COUNTIF(C190:L190,"PP")</x:f>
        <x:v>1</x:v>
      </x:c>
      <x:c r="N190" s="300" t="n">
        <x:f>IF(C190&lt;&gt;"",2016,IF(D190&lt;&gt;"",2017,IF(E190&lt;&gt;"",2018,IF(F190&lt;&gt;"",2019,IF(G190&lt;&gt;"",2020,IF(H190&lt;&gt;"",2021,IF(I190&lt;&gt;"",2022,IF(J190&lt;&gt;"",2023,IF(K190&lt;&gt;"",2024,IF(L190&lt;&gt;"",2025,""))))))))))</x:f>
        <x:v>2018</x:v>
      </x:c>
      <x:c r="O190" s="300" t="n">
        <x:f>IF(L190&lt;&gt;"",2025,IF(K190&lt;&gt;"",2024,IF(J190&lt;&gt;"",2023,IF(I190&lt;&gt;"",2022,IF(H190&lt;&gt;"",2021,IF(G190&lt;&gt;"",2020,IF(F190&lt;&gt;"",2019,IF(E190&lt;&gt;"",2018,IF(D190&lt;&gt;"",2017,IF(C190&lt;&gt;"",2016,""))))))))))</x:f>
        <x:v>2018</x:v>
      </x:c>
      <x:c r="P190" s="299" t="str">
        <x:v>Exited flagship; may continue on specialist Hype Cycles</x:v>
      </x:c>
      <x:c r="Q190" s="299" t="str">
        <x:v>Established / specialist</x:v>
      </x:c>
      <x:c r="R190" s="299" t="str">
        <x:v>By 2026 there are credible production uses and vendors, but adoption is concentrated in particular workloads, industries or architectures rather than universal.</x:v>
      </x:c>
      <x:c r="S190" s="299" t="str"/>
      <x:c r="T190" s="300" t="str">
        <x:f>IFERROR(INDEX($C190:$L190,1,MATCH($N190,$C$4:$L$4,0)),"")</x:f>
        <x:v>TD</x:v>
      </x:c>
      <x:c r="U190" s="300" t="n">
        <x:f>IFERROR(VLOOKUP(T190,'Adoption Methodology'!$F$18:$G$22,2,FALSE),"")</x:f>
        <x:v>2</x:v>
      </x:c>
      <x:c r="V190" s="299" t="str">
        <x:f>IFERROR(VLOOKUP(U190,'Adoption Methodology'!$A$5:$C$10,3,FALSE),"")</x:f>
        <x:v>≈5–15% of relevant market; credible deployments but limited scale</x:v>
      </x:c>
      <x:c r="W190" s="300" t="n">
        <x:f>IFERROR(VLOOKUP(Q190,'Adoption Methodology'!$F$5:$H$12,2,FALSE),"")</x:f>
        <x:v>4</x:v>
      </x:c>
      <x:c r="X190" s="299" t="str">
        <x:f>IFERROR(VLOOKUP(W190,'Adoption Methodology'!$A$5:$C$10,3,FALSE),"")</x:f>
        <x:v>≈35–60% within the addressable segment; mature specialist use</x:v>
      </x:c>
      <x:c r="Y190" s="300" t="n">
        <x:f>IF(OR(U190="",W190=""),"",W190-U190)</x:f>
        <x:v>2</x:v>
      </x:c>
      <x:c r="Z190" s="299" t="str">
        <x:f>IF(Y190="","",IF(Y190&gt;0,"Adoption increased",IF(Y190=0,"Broadly unchanged","Adoption maturity lower")))</x:f>
        <x:v>Adoption increased</x:v>
      </x:c>
      <x:c r="AA190" s="300" t="str">
        <x:f>IFERROR(VLOOKUP(Q190,'Adoption Methodology'!$F$5:$H$12,3,FALSE),"Medium")</x:f>
        <x:v>High</x:v>
      </x:c>
      <x:c r="AB190" s="299" t="str">
        <x:f>IFERROR(VLOOKUP(A190,'Adoption Methodology'!$K$5:$L$14,2,FALSE),IFERROR(VLOOKUP(B190,'Adoption Methodology'!$N$5:$O$16,2,FALSE),"https://www.gartner.com/en/information-technology/technology-adoption-roadmaps"))</x:f>
        <x:v>https://www.gartner.com/en/information-technology/technology-adoption-roadmaps</x:v>
      </x:c>
      <x:c r="AC190" s="299" t="str">
        <x:f>IF(R190="","Modelled adoption maturity; see Adoption Methodology.",R190&amp;"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91">
      <x:c r="A191" s="299" t="str">
        <x:v>Smart Robots</x:v>
      </x:c>
      <x:c r="B191" s="299" t="str">
        <x:v>Autonomy / Robotics</x:v>
      </x:c>
      <x:c r="C191" s="300" t="str">
        <x:v>IT</x:v>
      </x:c>
      <x:c r="D191" s="300" t="str">
        <x:v>PE</x:v>
      </x:c>
      <x:c r="E191" s="300" t="str">
        <x:v>PE</x:v>
      </x:c>
      <x:c r="F191" s="300" t="str"/>
      <x:c r="G191" s="300" t="str"/>
      <x:c r="H191" s="300" t="str"/>
      <x:c r="I191" s="300" t="str"/>
      <x:c r="J191" s="300" t="str"/>
      <x:c r="K191" s="300" t="str"/>
      <x:c r="L191" s="300" t="str"/>
      <x:c r="M191" s="300" t="n">
        <x:f>COUNTIF(C191:L191,"IT")+COUNTIF(C191:L191,"PE")+COUNTIF(C191:L191,"TD")+COUNTIF(C191:L191,"SE")+COUNTIF(C191:L191,"PP")</x:f>
        <x:v>3</x:v>
      </x:c>
      <x:c r="N191" s="300" t="n">
        <x:f>IF(C191&lt;&gt;"",2016,IF(D191&lt;&gt;"",2017,IF(E191&lt;&gt;"",2018,IF(F191&lt;&gt;"",2019,IF(G191&lt;&gt;"",2020,IF(H191&lt;&gt;"",2021,IF(I191&lt;&gt;"",2022,IF(J191&lt;&gt;"",2023,IF(K191&lt;&gt;"",2024,IF(L191&lt;&gt;"",2025,""))))))))))</x:f>
        <x:v>2016</x:v>
      </x:c>
      <x:c r="O191" s="300" t="n">
        <x:f>IF(L191&lt;&gt;"",2025,IF(K191&lt;&gt;"",2024,IF(J191&lt;&gt;"",2023,IF(I191&lt;&gt;"",2022,IF(H191&lt;&gt;"",2021,IF(G191&lt;&gt;"",2020,IF(F191&lt;&gt;"",2019,IF(E191&lt;&gt;"",2018,IF(D191&lt;&gt;"",2017,IF(C191&lt;&gt;"",2016,""))))))))))</x:f>
        <x:v>2018</x:v>
      </x:c>
      <x:c r="P191" s="299" t="str">
        <x:v>Exited flagship; may continue on specialist Hype Cycles</x:v>
      </x:c>
      <x:c r="Q191" s="299" t="str">
        <x:v>Established / specialist</x:v>
      </x:c>
      <x:c r="R191" s="299" t="str">
        <x:v>By 2026 there are credible production uses and vendors, but adoption is concentrated in particular workloads, industries or architectures rather than universal.</x:v>
      </x:c>
      <x:c r="S191" s="299" t="str"/>
      <x:c r="T191" s="300" t="str">
        <x:f>IFERROR(INDEX($C191:$L191,1,MATCH($N191,$C$4:$L$4,0)),"")</x:f>
        <x:v>IT</x:v>
      </x:c>
      <x:c r="U191" s="300" t="n">
        <x:f>IFERROR(VLOOKUP(T191,'Adoption Methodology'!$F$18:$G$22,2,FALSE),"")</x:f>
        <x:v>1</x:v>
      </x:c>
      <x:c r="V191" s="299" t="str">
        <x:f>IFERROR(VLOOKUP(U191,'Adoption Methodology'!$A$5:$C$10,3,FALSE),"")</x:f>
        <x:v>≈1–5% of relevant market; prototypes, pilots or very early deployments</x:v>
      </x:c>
      <x:c r="W191" s="300" t="n">
        <x:f>IFERROR(VLOOKUP(Q191,'Adoption Methodology'!$F$5:$H$12,2,FALSE),"")</x:f>
        <x:v>4</x:v>
      </x:c>
      <x:c r="X191" s="299" t="str">
        <x:f>IFERROR(VLOOKUP(W191,'Adoption Methodology'!$A$5:$C$10,3,FALSE),"")</x:f>
        <x:v>≈35–60% within the addressable segment; mature specialist use</x:v>
      </x:c>
      <x:c r="Y191" s="300" t="n">
        <x:f>IF(OR(U191="",W191=""),"",W191-U191)</x:f>
        <x:v>3</x:v>
      </x:c>
      <x:c r="Z191" s="299" t="str">
        <x:f>IF(Y191="","",IF(Y191&gt;0,"Adoption increased",IF(Y191=0,"Broadly unchanged","Adoption maturity lower")))</x:f>
        <x:v>Adoption increased</x:v>
      </x:c>
      <x:c r="AA191" s="300" t="str">
        <x:f>IFERROR(VLOOKUP(Q191,'Adoption Methodology'!$F$5:$H$12,3,FALSE),"Medium")</x:f>
        <x:v>High</x:v>
      </x:c>
      <x:c r="AB191" s="299" t="str">
        <x:f>IFERROR(VLOOKUP(A191,'Adoption Methodology'!$K$5:$L$14,2,FALSE),IFERROR(VLOOKUP(B191,'Adoption Methodology'!$N$5:$O$16,2,FALSE),"https://www.gartner.com/en/information-technology/technology-adoption-roadmaps"))</x:f>
        <x:v>https://ifr.org/worldrobotics/report-2025</x:v>
      </x:c>
      <x:c r="AC191" s="299" t="str">
        <x:f>IF(R191="","Modelled adoption maturity; see Adoption Methodology.",R191&amp;"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92">
      <x:c r="A192" s="299" t="str">
        <x:v>Smart Workspace</x:v>
      </x:c>
      <x:c r="B192" s="299" t="str">
        <x:v>Experience / Spatial Computing</x:v>
      </x:c>
      <x:c r="C192" s="300" t="str">
        <x:v>IT</x:v>
      </x:c>
      <x:c r="D192" s="300" t="str">
        <x:v>IT</x:v>
      </x:c>
      <x:c r="E192" s="300" t="str">
        <x:v>PE</x:v>
      </x:c>
      <x:c r="F192" s="300" t="str"/>
      <x:c r="G192" s="300" t="str"/>
      <x:c r="H192" s="300" t="str"/>
      <x:c r="I192" s="300" t="str"/>
      <x:c r="J192" s="300" t="str"/>
      <x:c r="K192" s="300" t="str"/>
      <x:c r="L192" s="300" t="str"/>
      <x:c r="M192" s="300" t="n">
        <x:f>COUNTIF(C192:L192,"IT")+COUNTIF(C192:L192,"PE")+COUNTIF(C192:L192,"TD")+COUNTIF(C192:L192,"SE")+COUNTIF(C192:L192,"PP")</x:f>
        <x:v>3</x:v>
      </x:c>
      <x:c r="N192" s="300" t="n">
        <x:f>IF(C192&lt;&gt;"",2016,IF(D192&lt;&gt;"",2017,IF(E192&lt;&gt;"",2018,IF(F192&lt;&gt;"",2019,IF(G192&lt;&gt;"",2020,IF(H192&lt;&gt;"",2021,IF(I192&lt;&gt;"",2022,IF(J192&lt;&gt;"",2023,IF(K192&lt;&gt;"",2024,IF(L192&lt;&gt;"",2025,""))))))))))</x:f>
        <x:v>2016</x:v>
      </x:c>
      <x:c r="O192" s="300" t="n">
        <x:f>IF(L192&lt;&gt;"",2025,IF(K192&lt;&gt;"",2024,IF(J192&lt;&gt;"",2023,IF(I192&lt;&gt;"",2022,IF(H192&lt;&gt;"",2021,IF(G192&lt;&gt;"",2020,IF(F192&lt;&gt;"",2019,IF(E192&lt;&gt;"",2018,IF(D192&lt;&gt;"",2017,IF(C192&lt;&gt;"",2016,""))))))))))</x:f>
        <x:v>2018</x:v>
      </x:c>
      <x:c r="P192" s="299" t="str">
        <x:v>Exited flagship; may continue on specialist Hype Cycles</x:v>
      </x:c>
      <x:c r="Q192" s="299" t="str">
        <x:v>Hype cooled / niche</x:v>
      </x:c>
      <x:c r="R192" s="299" t="str">
        <x:v>By 2026 the original hype has materially cooled; use persists in narrower or redefined applications rather than the broad promise implied at peak.</x:v>
      </x:c>
      <x:c r="S192" s="299" t="str"/>
      <x:c r="T192" s="300" t="str">
        <x:f>IFERROR(INDEX($C192:$L192,1,MATCH($N192,$C$4:$L$4,0)),"")</x:f>
        <x:v>IT</x:v>
      </x:c>
      <x:c r="U192" s="300" t="n">
        <x:f>IFERROR(VLOOKUP(T192,'Adoption Methodology'!$F$18:$G$22,2,FALSE),"")</x:f>
        <x:v>1</x:v>
      </x:c>
      <x:c r="V192" s="299" t="str">
        <x:f>IFERROR(VLOOKUP(U192,'Adoption Methodology'!$A$5:$C$10,3,FALSE),"")</x:f>
        <x:v>≈1–5% of relevant market; prototypes, pilots or very early deployments</x:v>
      </x:c>
      <x:c r="W192" s="300" t="n">
        <x:f>IFERROR(VLOOKUP(Q192,'Adoption Methodology'!$F$5:$H$12,2,FALSE),"")</x:f>
        <x:v>2</x:v>
      </x:c>
      <x:c r="X192" s="299" t="str">
        <x:f>IFERROR(VLOOKUP(W192,'Adoption Methodology'!$A$5:$C$10,3,FALSE),"")</x:f>
        <x:v>≈5–15% of relevant market; credible deployments but limited scale</x:v>
      </x:c>
      <x:c r="Y192" s="300" t="n">
        <x:f>IF(OR(U192="",W192=""),"",W192-U192)</x:f>
        <x:v>1</x:v>
      </x:c>
      <x:c r="Z192" s="299" t="str">
        <x:f>IF(Y192="","",IF(Y192&gt;0,"Adoption increased",IF(Y192=0,"Broadly unchanged","Adoption maturity lower")))</x:f>
        <x:v>Adoption increased</x:v>
      </x:c>
      <x:c r="AA192" s="300" t="str">
        <x:f>IFERROR(VLOOKUP(Q192,'Adoption Methodology'!$F$5:$H$12,3,FALSE),"Medium")</x:f>
        <x:v>Medium</x:v>
      </x:c>
      <x:c r="AB192" s="299" t="str">
        <x:f>IFERROR(VLOOKUP(A192,'Adoption Methodology'!$K$5:$L$14,2,FALSE),IFERROR(VLOOKUP(B192,'Adoption Methodology'!$N$5:$O$16,2,FALSE),"https://www.gartner.com/en/information-technology/technology-adoption-roadmaps"))</x:f>
        <x:v>https://www.mckinsey.com/featured-insights/mckinsey-explainers/what-is-digital-twin-technology</x:v>
      </x:c>
      <x:c r="AC192" s="299" t="str">
        <x:f>IF(R192="","Modelled adoption maturity; see Adoption Methodology.",R192&amp;"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93">
      <x:c r="A193" s="299" t="str">
        <x:v>Social Distancing Technologies</x:v>
      </x:c>
      <x:c r="B193" s="299" t="str">
        <x:v>Business / Emerging Technology</x:v>
      </x:c>
      <x:c r="C193" s="300" t="str"/>
      <x:c r="D193" s="300" t="str"/>
      <x:c r="E193" s="300" t="str"/>
      <x:c r="F193" s="300" t="str"/>
      <x:c r="G193" s="300" t="str">
        <x:v>PE</x:v>
      </x:c>
      <x:c r="H193" s="300" t="str"/>
      <x:c r="I193" s="300" t="str"/>
      <x:c r="J193" s="300" t="str"/>
      <x:c r="K193" s="300" t="str"/>
      <x:c r="L193" s="300" t="str"/>
      <x:c r="M193" s="300" t="n">
        <x:f>COUNTIF(C193:L193,"IT")+COUNTIF(C193:L193,"PE")+COUNTIF(C193:L193,"TD")+COUNTIF(C193:L193,"SE")+COUNTIF(C193:L193,"PP")</x:f>
        <x:v>1</x:v>
      </x:c>
      <x:c r="N193" s="300" t="n">
        <x:f>IF(C193&lt;&gt;"",2016,IF(D193&lt;&gt;"",2017,IF(E193&lt;&gt;"",2018,IF(F193&lt;&gt;"",2019,IF(G193&lt;&gt;"",2020,IF(H193&lt;&gt;"",2021,IF(I193&lt;&gt;"",2022,IF(J193&lt;&gt;"",2023,IF(K193&lt;&gt;"",2024,IF(L193&lt;&gt;"",2025,""))))))))))</x:f>
        <x:v>2020</x:v>
      </x:c>
      <x:c r="O193" s="300" t="n">
        <x:f>IF(L193&lt;&gt;"",2025,IF(K193&lt;&gt;"",2024,IF(J193&lt;&gt;"",2023,IF(I193&lt;&gt;"",2022,IF(H193&lt;&gt;"",2021,IF(G193&lt;&gt;"",2020,IF(F193&lt;&gt;"",2019,IF(E193&lt;&gt;"",2018,IF(D193&lt;&gt;"",2017,IF(C193&lt;&gt;"",2016,""))))))))))</x:f>
        <x:v>2020</x:v>
      </x:c>
      <x:c r="P193" s="299" t="str">
        <x:v>Exited flagship; may continue on specialist Hype Cycles</x:v>
      </x:c>
      <x:c r="Q193" s="299" t="str">
        <x:v>Hype cooled / niche</x:v>
      </x:c>
      <x:c r="R193" s="299" t="str">
        <x:v>By 2026 the original hype has materially cooled; use persists in narrower or redefined applications rather than the broad promise implied at peak.</x:v>
      </x:c>
      <x:c r="S193" s="299" t="str"/>
      <x:c r="T193" s="300" t="str">
        <x:f>IFERROR(INDEX($C193:$L193,1,MATCH($N193,$C$4:$L$4,0)),"")</x:f>
        <x:v>PE</x:v>
      </x:c>
      <x:c r="U193" s="300" t="n">
        <x:f>IFERROR(VLOOKUP(T193,'Adoption Methodology'!$F$18:$G$22,2,FALSE),"")</x:f>
        <x:v>2</x:v>
      </x:c>
      <x:c r="V193" s="299" t="str">
        <x:f>IFERROR(VLOOKUP(U193,'Adoption Methodology'!$A$5:$C$10,3,FALSE),"")</x:f>
        <x:v>≈5–15% of relevant market; credible deployments but limited scale</x:v>
      </x:c>
      <x:c r="W193" s="300" t="n">
        <x:f>IFERROR(VLOOKUP(Q193,'Adoption Methodology'!$F$5:$H$12,2,FALSE),"")</x:f>
        <x:v>2</x:v>
      </x:c>
      <x:c r="X193" s="299" t="str">
        <x:f>IFERROR(VLOOKUP(W193,'Adoption Methodology'!$A$5:$C$10,3,FALSE),"")</x:f>
        <x:v>≈5–15% of relevant market; credible deployments but limited scale</x:v>
      </x:c>
      <x:c r="Y193" s="300" t="n">
        <x:f>IF(OR(U193="",W193=""),"",W193-U193)</x:f>
        <x:v>0</x:v>
      </x:c>
      <x:c r="Z193" s="299" t="str">
        <x:f>IF(Y193="","",IF(Y193&gt;0,"Adoption increased",IF(Y193=0,"Broadly unchanged","Adoption maturity lower")))</x:f>
      </x:c>
      <x:c r="AA193" s="300" t="str">
        <x:f>IFERROR(VLOOKUP(Q193,'Adoption Methodology'!$F$5:$H$12,3,FALSE),"Medium")</x:f>
        <x:v>Medium</x:v>
      </x:c>
      <x:c r="AB193" s="299" t="str">
        <x:f>IFERROR(VLOOKUP(A193,'Adoption Methodology'!$K$5:$L$14,2,FALSE),IFERROR(VLOOKUP(B193,'Adoption Methodology'!$N$5:$O$16,2,FALSE),"https://www.gartner.com/en/information-technology/technology-adoption-roadmaps"))</x:f>
        <x:v>https://www.gartner.com/en/information-technology/technology-adoption-roadmaps</x:v>
      </x:c>
      <x:c r="AC193" s="299" t="str">
        <x:f>IF(R193="","Modelled adoption maturity; see Adoption Methodology.",R193&amp;"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194">
      <x:c r="A194" s="299" t="str">
        <x:v>Software-Defined Anything (SDx)</x:v>
      </x:c>
      <x:c r="B194" s="299" t="str">
        <x:v>Business / Emerging Technology</x:v>
      </x:c>
      <x:c r="C194" s="300" t="str">
        <x:v>PE</x:v>
      </x:c>
      <x:c r="D194" s="300" t="str"/>
      <x:c r="E194" s="300" t="str"/>
      <x:c r="F194" s="300" t="str"/>
      <x:c r="G194" s="300" t="str"/>
      <x:c r="H194" s="300" t="str"/>
      <x:c r="I194" s="300" t="str"/>
      <x:c r="J194" s="300" t="str"/>
      <x:c r="K194" s="300" t="str"/>
      <x:c r="L194" s="300" t="str"/>
      <x:c r="M194" s="300" t="n">
        <x:f>COUNTIF(C194:L194,"IT")+COUNTIF(C194:L194,"PE")+COUNTIF(C194:L194,"TD")+COUNTIF(C194:L194,"SE")+COUNTIF(C194:L194,"PP")</x:f>
        <x:v>1</x:v>
      </x:c>
      <x:c r="N194" s="300" t="n">
        <x:f>IF(C194&lt;&gt;"",2016,IF(D194&lt;&gt;"",2017,IF(E194&lt;&gt;"",2018,IF(F194&lt;&gt;"",2019,IF(G194&lt;&gt;"",2020,IF(H194&lt;&gt;"",2021,IF(I194&lt;&gt;"",2022,IF(J194&lt;&gt;"",2023,IF(K194&lt;&gt;"",2024,IF(L194&lt;&gt;"",2025,""))))))))))</x:f>
        <x:v>2016</x:v>
      </x:c>
      <x:c r="O194" s="300" t="n">
        <x:f>IF(L194&lt;&gt;"",2025,IF(K194&lt;&gt;"",2024,IF(J194&lt;&gt;"",2023,IF(I194&lt;&gt;"",2022,IF(H194&lt;&gt;"",2021,IF(G194&lt;&gt;"",2020,IF(F194&lt;&gt;"",2019,IF(E194&lt;&gt;"",2018,IF(D194&lt;&gt;"",2017,IF(C194&lt;&gt;"",2016,""))))))))))</x:f>
        <x:v>2016</x:v>
      </x:c>
      <x:c r="P194" s="299" t="str">
        <x:v>Exited flagship; may continue on specialist Hype Cycles</x:v>
      </x:c>
      <x:c r="Q194" s="299" t="str">
        <x:v>Superseded / absorbed</x:v>
      </x:c>
      <x:c r="R194" s="299" t="str">
        <x:v>The concept largely survives inside broader platforms, successor terminology or more specific technology categories rather than as a standalone label.</x:v>
      </x:c>
      <x:c r="S194" s="299" t="str"/>
      <x:c r="T194" s="300" t="str">
        <x:f>IFERROR(INDEX($C194:$L194,1,MATCH($N194,$C$4:$L$4,0)),"")</x:f>
        <x:v>PE</x:v>
      </x:c>
      <x:c r="U194" s="300" t="n">
        <x:f>IFERROR(VLOOKUP(T194,'Adoption Methodology'!$F$18:$G$22,2,FALSE),"")</x:f>
        <x:v>2</x:v>
      </x:c>
      <x:c r="V194" s="299" t="str">
        <x:f>IFERROR(VLOOKUP(U194,'Adoption Methodology'!$A$5:$C$10,3,FALSE),"")</x:f>
        <x:v>≈5–15% of relevant market; credible deployments but limited scale</x:v>
      </x:c>
      <x:c r="W194" s="300" t="n">
        <x:f>IFERROR(VLOOKUP(Q194,'Adoption Methodology'!$F$5:$H$12,2,FALSE),"")</x:f>
        <x:v>3</x:v>
      </x:c>
      <x:c r="X194" s="299" t="str">
        <x:f>IFERROR(VLOOKUP(W194,'Adoption Methodology'!$A$5:$C$10,3,FALSE),"")</x:f>
        <x:v>≈15–35% of relevant market, or capability absorbed into successor platforms</x:v>
      </x:c>
      <x:c r="Y194" s="300" t="n">
        <x:f>IF(OR(U194="",W194=""),"",W194-U194)</x:f>
        <x:v>1</x:v>
      </x:c>
      <x:c r="Z194" s="299" t="str">
        <x:f>IF(Y194="","",IF(Y194&gt;0,"Adoption increased",IF(Y194=0,"Broadly unchanged","Adoption maturity lower")))</x:f>
        <x:v>Adoption increased</x:v>
      </x:c>
      <x:c r="AA194" s="300" t="str">
        <x:f>IFERROR(VLOOKUP(Q194,'Adoption Methodology'!$F$5:$H$12,3,FALSE),"Medium")</x:f>
        <x:v>Medium-Low</x:v>
      </x:c>
      <x:c r="AB194" s="299" t="str">
        <x:f>IFERROR(VLOOKUP(A194,'Adoption Methodology'!$K$5:$L$14,2,FALSE),IFERROR(VLOOKUP(B194,'Adoption Methodology'!$N$5:$O$16,2,FALSE),"https://www.gartner.com/en/information-technology/technology-adoption-roadmaps"))</x:f>
        <x:v>https://www.gartner.com/en/information-technology/technology-adoption-roadmaps</x:v>
      </x:c>
      <x:c r="AC194" s="299" t="str">
        <x:f>IF(R194="","Modelled adoption maturity; see Adoption Methodology.",R194&amp;"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95">
      <x:c r="A195" s="299" t="str">
        <x:v>Software-Defined Security</x:v>
      </x:c>
      <x:c r="B195" s="299" t="str">
        <x:v>Security / Privacy</x:v>
      </x:c>
      <x:c r="C195" s="300" t="str">
        <x:v>PE</x:v>
      </x:c>
      <x:c r="D195" s="300" t="str">
        <x:v>TD</x:v>
      </x:c>
      <x:c r="E195" s="300" t="str"/>
      <x:c r="F195" s="300" t="str"/>
      <x:c r="G195" s="300" t="str"/>
      <x:c r="H195" s="300" t="str"/>
      <x:c r="I195" s="300" t="str"/>
      <x:c r="J195" s="300" t="str"/>
      <x:c r="K195" s="300" t="str"/>
      <x:c r="L195" s="300" t="str"/>
      <x:c r="M195" s="300" t="n">
        <x:f>COUNTIF(C195:L195,"IT")+COUNTIF(C195:L195,"PE")+COUNTIF(C195:L195,"TD")+COUNTIF(C195:L195,"SE")+COUNTIF(C195:L195,"PP")</x:f>
        <x:v>2</x:v>
      </x:c>
      <x:c r="N195" s="300" t="n">
        <x:f>IF(C195&lt;&gt;"",2016,IF(D195&lt;&gt;"",2017,IF(E195&lt;&gt;"",2018,IF(F195&lt;&gt;"",2019,IF(G195&lt;&gt;"",2020,IF(H195&lt;&gt;"",2021,IF(I195&lt;&gt;"",2022,IF(J195&lt;&gt;"",2023,IF(K195&lt;&gt;"",2024,IF(L195&lt;&gt;"",2025,""))))))))))</x:f>
        <x:v>2016</x:v>
      </x:c>
      <x:c r="O195" s="300" t="n">
        <x:f>IF(L195&lt;&gt;"",2025,IF(K195&lt;&gt;"",2024,IF(J195&lt;&gt;"",2023,IF(I195&lt;&gt;"",2022,IF(H195&lt;&gt;"",2021,IF(G195&lt;&gt;"",2020,IF(F195&lt;&gt;"",2019,IF(E195&lt;&gt;"",2018,IF(D195&lt;&gt;"",2017,IF(C195&lt;&gt;"",2016,""))))))))))</x:f>
        <x:v>2017</x:v>
      </x:c>
      <x:c r="P195" s="299" t="str">
        <x:v>Exited flagship; may continue on specialist Hype Cycles</x:v>
      </x:c>
      <x:c r="Q195" s="299" t="str">
        <x:v>Superseded / absorbed</x:v>
      </x:c>
      <x:c r="R195" s="299" t="str">
        <x:v>The concept largely survives inside broader platforms, successor terminology or more specific technology categories rather than as a standalone label.</x:v>
      </x:c>
      <x:c r="S195" s="299" t="str"/>
      <x:c r="T195" s="300" t="str">
        <x:f>IFERROR(INDEX($C195:$L195,1,MATCH($N195,$C$4:$L$4,0)),"")</x:f>
        <x:v>PE</x:v>
      </x:c>
      <x:c r="U195" s="300" t="n">
        <x:f>IFERROR(VLOOKUP(T195,'Adoption Methodology'!$F$18:$G$22,2,FALSE),"")</x:f>
        <x:v>2</x:v>
      </x:c>
      <x:c r="V195" s="299" t="str">
        <x:f>IFERROR(VLOOKUP(U195,'Adoption Methodology'!$A$5:$C$10,3,FALSE),"")</x:f>
        <x:v>≈5–15% of relevant market; credible deployments but limited scale</x:v>
      </x:c>
      <x:c r="W195" s="300" t="n">
        <x:f>IFERROR(VLOOKUP(Q195,'Adoption Methodology'!$F$5:$H$12,2,FALSE),"")</x:f>
        <x:v>3</x:v>
      </x:c>
      <x:c r="X195" s="299" t="str">
        <x:f>IFERROR(VLOOKUP(W195,'Adoption Methodology'!$A$5:$C$10,3,FALSE),"")</x:f>
        <x:v>≈15–35% of relevant market, or capability absorbed into successor platforms</x:v>
      </x:c>
      <x:c r="Y195" s="300" t="n">
        <x:f>IF(OR(U195="",W195=""),"",W195-U195)</x:f>
        <x:v>1</x:v>
      </x:c>
      <x:c r="Z195" s="299" t="str">
        <x:f>IF(Y195="","",IF(Y195&gt;0,"Adoption increased",IF(Y195=0,"Broadly unchanged","Adoption maturity lower")))</x:f>
        <x:v>Adoption increased</x:v>
      </x:c>
      <x:c r="AA195" s="300" t="str">
        <x:f>IFERROR(VLOOKUP(Q195,'Adoption Methodology'!$F$5:$H$12,3,FALSE),"Medium")</x:f>
        <x:v>Medium-Low</x:v>
      </x:c>
      <x:c r="AB195" s="299" t="str">
        <x:f>IFERROR(VLOOKUP(A195,'Adoption Methodology'!$K$5:$L$14,2,FALSE),IFERROR(VLOOKUP(B195,'Adoption Methodology'!$N$5:$O$16,2,FALSE),"https://www.gartner.com/en/information-technology/technology-adoption-roadmaps"))</x:f>
        <x:v>https://www.gartner.com/en/information-technology/technology-adoption-roadmaps</x:v>
      </x:c>
      <x:c r="AC195" s="299" t="str">
        <x:f>IF(R195="","Modelled adoption maturity; see Adoption Methodology.",R195&amp;" Adoption band is a modelled maturity estimate rather than a like-for-like market-share statistic.")</x:f>
        <x:v>The concept largely survives inside broader platforms, successor terminology or more specific technology categories rather than as a standalone label. Adoption band is a modelled maturity estimate rather than a like-for-like market-share statistic.</x:v>
      </x:c>
    </x:row>
    <x:row r="196">
      <x:c r="A196" s="299" t="str">
        <x:v>Sovereign Cloud</x:v>
      </x:c>
      <x:c r="B196" s="299" t="str">
        <x:v>Cloud / Software Engineering</x:v>
      </x:c>
      <x:c r="C196" s="300" t="str"/>
      <x:c r="D196" s="300" t="str"/>
      <x:c r="E196" s="300" t="str"/>
      <x:c r="F196" s="300" t="str"/>
      <x:c r="G196" s="300" t="str"/>
      <x:c r="H196" s="300" t="str">
        <x:v>IT</x:v>
      </x:c>
      <x:c r="I196" s="300" t="str"/>
      <x:c r="J196" s="300" t="str"/>
      <x:c r="K196" s="300" t="str"/>
      <x:c r="L196" s="300" t="str"/>
      <x:c r="M196" s="300" t="n">
        <x:f>COUNTIF(C196:L196,"IT")+COUNTIF(C196:L196,"PE")+COUNTIF(C196:L196,"TD")+COUNTIF(C196:L196,"SE")+COUNTIF(C196:L196,"PP")</x:f>
        <x:v>1</x:v>
      </x:c>
      <x:c r="N196" s="300" t="n">
        <x:f>IF(C196&lt;&gt;"",2016,IF(D196&lt;&gt;"",2017,IF(E196&lt;&gt;"",2018,IF(F196&lt;&gt;"",2019,IF(G196&lt;&gt;"",2020,IF(H196&lt;&gt;"",2021,IF(I196&lt;&gt;"",2022,IF(J196&lt;&gt;"",2023,IF(K196&lt;&gt;"",2024,IF(L196&lt;&gt;"",2025,""))))))))))</x:f>
        <x:v>2021</x:v>
      </x:c>
      <x:c r="O196" s="300" t="n">
        <x:f>IF(L196&lt;&gt;"",2025,IF(K196&lt;&gt;"",2024,IF(J196&lt;&gt;"",2023,IF(I196&lt;&gt;"",2022,IF(H196&lt;&gt;"",2021,IF(G196&lt;&gt;"",2020,IF(F196&lt;&gt;"",2019,IF(E196&lt;&gt;"",2018,IF(D196&lt;&gt;"",2017,IF(C196&lt;&gt;"",2016,""))))))))))</x:f>
        <x:v>2021</x:v>
      </x:c>
      <x:c r="P196" s="299" t="str">
        <x:v>Exited flagship; may continue on specialist Hype Cycles</x:v>
      </x:c>
      <x:c r="Q196" s="299" t="str">
        <x:v>Established / specialist</x:v>
      </x:c>
      <x:c r="R196" s="299" t="str">
        <x:v>By 2026 there are credible production uses and vendors, but adoption is concentrated in particular workloads, industries or architectures rather than universal.</x:v>
      </x:c>
      <x:c r="S196" s="299" t="str"/>
      <x:c r="T196" s="300" t="str">
        <x:f>IFERROR(INDEX($C196:$L196,1,MATCH($N196,$C$4:$L$4,0)),"")</x:f>
        <x:v>IT</x:v>
      </x:c>
      <x:c r="U196" s="300" t="n">
        <x:f>IFERROR(VLOOKUP(T196,'Adoption Methodology'!$F$18:$G$22,2,FALSE),"")</x:f>
        <x:v>1</x:v>
      </x:c>
      <x:c r="V196" s="299" t="str">
        <x:f>IFERROR(VLOOKUP(U196,'Adoption Methodology'!$A$5:$C$10,3,FALSE),"")</x:f>
        <x:v>≈1–5% of relevant market; prototypes, pilots or very early deployments</x:v>
      </x:c>
      <x:c r="W196" s="300" t="n">
        <x:f>IFERROR(VLOOKUP(Q196,'Adoption Methodology'!$F$5:$H$12,2,FALSE),"")</x:f>
        <x:v>4</x:v>
      </x:c>
      <x:c r="X196" s="299" t="str">
        <x:f>IFERROR(VLOOKUP(W196,'Adoption Methodology'!$A$5:$C$10,3,FALSE),"")</x:f>
        <x:v>≈35–60% within the addressable segment; mature specialist use</x:v>
      </x:c>
      <x:c r="Y196" s="300" t="n">
        <x:f>IF(OR(U196="",W196=""),"",W196-U196)</x:f>
        <x:v>3</x:v>
      </x:c>
      <x:c r="Z196" s="299" t="str">
        <x:f>IF(Y196="","",IF(Y196&gt;0,"Adoption increased",IF(Y196=0,"Broadly unchanged","Adoption maturity lower")))</x:f>
        <x:v>Adoption increased</x:v>
      </x:c>
      <x:c r="AA196" s="300" t="str">
        <x:f>IFERROR(VLOOKUP(Q196,'Adoption Methodology'!$F$5:$H$12,3,FALSE),"Medium")</x:f>
        <x:v>High</x:v>
      </x:c>
      <x:c r="AB196" s="299" t="str">
        <x:f>IFERROR(VLOOKUP(A196,'Adoption Methodology'!$K$5:$L$14,2,FALSE),IFERROR(VLOOKUP(B196,'Adoption Methodology'!$N$5:$O$16,2,FALSE),"https://www.gartner.com/en/information-technology/technology-adoption-roadmaps"))</x:f>
        <x:v>https://www.cncf.io/reports/the-cncf-annual-cloud-native-survey/</x:v>
      </x:c>
      <x:c r="AC196" s="299" t="str">
        <x:f>IF(R196="","Modelled adoption maturity; see Adoption Methodology.",R196&amp;"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97">
      <x:c r="A197" s="299" t="str">
        <x:v>Spatial Computing</x:v>
      </x:c>
      <x:c r="B197" s="299" t="str">
        <x:v>Experience / Spatial Computing</x:v>
      </x:c>
      <x:c r="C197" s="300" t="str"/>
      <x:c r="D197" s="300" t="str"/>
      <x:c r="E197" s="300" t="str"/>
      <x:c r="F197" s="300" t="str"/>
      <x:c r="G197" s="300" t="str"/>
      <x:c r="H197" s="300" t="str"/>
      <x:c r="I197" s="300" t="str"/>
      <x:c r="J197" s="300" t="str"/>
      <x:c r="K197" s="300" t="str">
        <x:v>IT</x:v>
      </x:c>
      <x:c r="L197" s="300" t="str">
        <x:v>IT</x:v>
      </x:c>
      <x:c r="M197" s="300" t="n">
        <x:f>COUNTIF(C197:L197,"IT")+COUNTIF(C197:L197,"PE")+COUNTIF(C197:L197,"TD")+COUNTIF(C197:L197,"SE")+COUNTIF(C197:L197,"PP")</x:f>
        <x:v>2</x:v>
      </x:c>
      <x:c r="N197" s="300" t="n">
        <x:f>IF(C197&lt;&gt;"",2016,IF(D197&lt;&gt;"",2017,IF(E197&lt;&gt;"",2018,IF(F197&lt;&gt;"",2019,IF(G197&lt;&gt;"",2020,IF(H197&lt;&gt;"",2021,IF(I197&lt;&gt;"",2022,IF(J197&lt;&gt;"",2023,IF(K197&lt;&gt;"",2024,IF(L197&lt;&gt;"",2025,""))))))))))</x:f>
        <x:v>2024</x:v>
      </x:c>
      <x:c r="O197" s="300" t="n">
        <x:f>IF(L197&lt;&gt;"",2025,IF(K197&lt;&gt;"",2024,IF(J197&lt;&gt;"",2023,IF(I197&lt;&gt;"",2022,IF(H197&lt;&gt;"",2021,IF(G197&lt;&gt;"",2020,IF(F197&lt;&gt;"",2019,IF(E197&lt;&gt;"",2018,IF(D197&lt;&gt;"",2017,IF(C197&lt;&gt;"",2016,""))))))))))</x:f>
        <x:v>2025</x:v>
      </x:c>
      <x:c r="P197" s="299" t="str">
        <x:v>Still on the 2025 flagship</x:v>
      </x:c>
      <x:c r="Q197" s="299" t="str">
        <x:v>Still emerging / evolving</x:v>
      </x:c>
      <x:c r="R197" s="299" t="str">
        <x:v>By 2026 the category is still evolving quickly; commercial adoption exists or is beginning, but maturity and durable ROI vary significantly.</x:v>
      </x:c>
      <x:c r="S197" s="299" t="str"/>
      <x:c r="T197" s="300" t="str">
        <x:f>IFERROR(INDEX($C197:$L197,1,MATCH($N197,$C$4:$L$4,0)),"")</x:f>
        <x:v>IT</x:v>
      </x:c>
      <x:c r="U197" s="300" t="n">
        <x:f>IFERROR(VLOOKUP(T197,'Adoption Methodology'!$F$18:$G$22,2,FALSE),"")</x:f>
        <x:v>1</x:v>
      </x:c>
      <x:c r="V197" s="299" t="str">
        <x:f>IFERROR(VLOOKUP(U197,'Adoption Methodology'!$A$5:$C$10,3,FALSE),"")</x:f>
        <x:v>≈1–5% of relevant market; prototypes, pilots or very early deployments</x:v>
      </x:c>
      <x:c r="W197" s="300" t="n">
        <x:f>IFERROR(VLOOKUP(Q197,'Adoption Methodology'!$F$5:$H$12,2,FALSE),"")</x:f>
        <x:v>2</x:v>
      </x:c>
      <x:c r="X197" s="299" t="str">
        <x:f>IFERROR(VLOOKUP(W197,'Adoption Methodology'!$A$5:$C$10,3,FALSE),"")</x:f>
        <x:v>≈5–15% of relevant market; credible deployments but limited scale</x:v>
      </x:c>
      <x:c r="Y197" s="300" t="n">
        <x:f>IF(OR(U197="",W197=""),"",W197-U197)</x:f>
        <x:v>1</x:v>
      </x:c>
      <x:c r="Z197" s="299" t="str">
        <x:f>IF(Y197="","",IF(Y197&gt;0,"Adoption increased",IF(Y197=0,"Broadly unchanged","Adoption maturity lower")))</x:f>
        <x:v>Adoption increased</x:v>
      </x:c>
      <x:c r="AA197" s="300" t="str">
        <x:f>IFERROR(VLOOKUP(Q197,'Adoption Methodology'!$F$5:$H$12,3,FALSE),"Medium")</x:f>
        <x:v>Medium</x:v>
      </x:c>
      <x:c r="AB197" s="299" t="str">
        <x:f>IFERROR(VLOOKUP(A197,'Adoption Methodology'!$K$5:$L$14,2,FALSE),IFERROR(VLOOKUP(B197,'Adoption Methodology'!$N$5:$O$16,2,FALSE),"https://www.gartner.com/en/information-technology/technology-adoption-roadmaps"))</x:f>
        <x:v>https://www.mckinsey.com/featured-insights/mckinsey-explainers/what-is-digital-twin-technology</x:v>
      </x:c>
      <x:c r="AC197" s="299" t="str">
        <x:f>IF(R197="","Modelled adoption maturity; see Adoption Methodology.",R197&amp;"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198">
      <x:c r="A198" s="299" t="str">
        <x:v>Superapps</x:v>
      </x:c>
      <x:c r="B198" s="299" t="str">
        <x:v>Business / Emerging Technology</x:v>
      </x:c>
      <x:c r="C198" s="300" t="str"/>
      <x:c r="D198" s="300" t="str"/>
      <x:c r="E198" s="300" t="str"/>
      <x:c r="F198" s="300" t="str"/>
      <x:c r="G198" s="300" t="str"/>
      <x:c r="H198" s="300" t="str"/>
      <x:c r="I198" s="300" t="str">
        <x:v>IT</x:v>
      </x:c>
      <x:c r="J198" s="300" t="str"/>
      <x:c r="K198" s="300" t="str">
        <x:v>PE</x:v>
      </x:c>
      <x:c r="L198" s="300" t="str"/>
      <x:c r="M198" s="300" t="n">
        <x:f>COUNTIF(C198:L198,"IT")+COUNTIF(C198:L198,"PE")+COUNTIF(C198:L198,"TD")+COUNTIF(C198:L198,"SE")+COUNTIF(C198:L198,"PP")</x:f>
        <x:v>2</x:v>
      </x:c>
      <x:c r="N198" s="300" t="n">
        <x:f>IF(C198&lt;&gt;"",2016,IF(D198&lt;&gt;"",2017,IF(E198&lt;&gt;"",2018,IF(F198&lt;&gt;"",2019,IF(G198&lt;&gt;"",2020,IF(H198&lt;&gt;"",2021,IF(I198&lt;&gt;"",2022,IF(J198&lt;&gt;"",2023,IF(K198&lt;&gt;"",2024,IF(L198&lt;&gt;"",2025,""))))))))))</x:f>
        <x:v>2022</x:v>
      </x:c>
      <x:c r="O198" s="300" t="n">
        <x:f>IF(L198&lt;&gt;"",2025,IF(K198&lt;&gt;"",2024,IF(J198&lt;&gt;"",2023,IF(I198&lt;&gt;"",2022,IF(H198&lt;&gt;"",2021,IF(G198&lt;&gt;"",2020,IF(F198&lt;&gt;"",2019,IF(E198&lt;&gt;"",2018,IF(D198&lt;&gt;"",2017,IF(C198&lt;&gt;"",2016,""))))))))))</x:f>
        <x:v>2024</x:v>
      </x:c>
      <x:c r="P198" s="299" t="str">
        <x:v>Exited flagship; may continue on specialist Hype Cycles</x:v>
      </x:c>
      <x:c r="Q198" s="299" t="str">
        <x:v>Established / specialist</x:v>
      </x:c>
      <x:c r="R198" s="299" t="str">
        <x:v>By 2026 there are credible production uses and vendors, but adoption is concentrated in particular workloads, industries or architectures rather than universal.</x:v>
      </x:c>
      <x:c r="S198" s="299" t="str"/>
      <x:c r="T198" s="300" t="str">
        <x:f>IFERROR(INDEX($C198:$L198,1,MATCH($N198,$C$4:$L$4,0)),"")</x:f>
        <x:v>IT</x:v>
      </x:c>
      <x:c r="U198" s="300" t="n">
        <x:f>IFERROR(VLOOKUP(T198,'Adoption Methodology'!$F$18:$G$22,2,FALSE),"")</x:f>
        <x:v>1</x:v>
      </x:c>
      <x:c r="V198" s="299" t="str">
        <x:f>IFERROR(VLOOKUP(U198,'Adoption Methodology'!$A$5:$C$10,3,FALSE),"")</x:f>
        <x:v>≈1–5% of relevant market; prototypes, pilots or very early deployments</x:v>
      </x:c>
      <x:c r="W198" s="300" t="n">
        <x:f>IFERROR(VLOOKUP(Q198,'Adoption Methodology'!$F$5:$H$12,2,FALSE),"")</x:f>
        <x:v>4</x:v>
      </x:c>
      <x:c r="X198" s="299" t="str">
        <x:f>IFERROR(VLOOKUP(W198,'Adoption Methodology'!$A$5:$C$10,3,FALSE),"")</x:f>
        <x:v>≈35–60% within the addressable segment; mature specialist use</x:v>
      </x:c>
      <x:c r="Y198" s="300" t="n">
        <x:f>IF(OR(U198="",W198=""),"",W198-U198)</x:f>
        <x:v>3</x:v>
      </x:c>
      <x:c r="Z198" s="299" t="str">
        <x:f>IF(Y198="","",IF(Y198&gt;0,"Adoption increased",IF(Y198=0,"Broadly unchanged","Adoption maturity lower")))</x:f>
        <x:v>Adoption increased</x:v>
      </x:c>
      <x:c r="AA198" s="300" t="str">
        <x:f>IFERROR(VLOOKUP(Q198,'Adoption Methodology'!$F$5:$H$12,3,FALSE),"Medium")</x:f>
        <x:v>High</x:v>
      </x:c>
      <x:c r="AB198" s="299" t="str">
        <x:f>IFERROR(VLOOKUP(A198,'Adoption Methodology'!$K$5:$L$14,2,FALSE),IFERROR(VLOOKUP(B198,'Adoption Methodology'!$N$5:$O$16,2,FALSE),"https://www.gartner.com/en/information-technology/technology-adoption-roadmaps"))</x:f>
        <x:v>https://www.gartner.com/en/information-technology/technology-adoption-roadmaps</x:v>
      </x:c>
      <x:c r="AC198" s="299" t="str">
        <x:f>IF(R198="","Modelled adoption maturity; see Adoption Methodology.",R198&amp;"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199">
      <x:c r="A199" s="299" t="str">
        <x:v>Synthetic Data</x:v>
      </x:c>
      <x:c r="B199" s="299" t="str">
        <x:v>AI / Data / Analytics</x:v>
      </x:c>
      <x:c r="C199" s="300" t="str"/>
      <x:c r="D199" s="300" t="str"/>
      <x:c r="E199" s="300" t="str"/>
      <x:c r="F199" s="300" t="str">
        <x:v>IT</x:v>
      </x:c>
      <x:c r="G199" s="300" t="str"/>
      <x:c r="H199" s="300" t="str"/>
      <x:c r="I199" s="300" t="str"/>
      <x:c r="J199" s="300" t="str"/>
      <x:c r="K199" s="300" t="str"/>
      <x:c r="L199" s="300" t="str"/>
      <x:c r="M199" s="300" t="n">
        <x:f>COUNTIF(C199:L199,"IT")+COUNTIF(C199:L199,"PE")+COUNTIF(C199:L199,"TD")+COUNTIF(C199:L199,"SE")+COUNTIF(C199:L199,"PP")</x:f>
        <x:v>1</x:v>
      </x:c>
      <x:c r="N199" s="300" t="n">
        <x:f>IF(C199&lt;&gt;"",2016,IF(D199&lt;&gt;"",2017,IF(E199&lt;&gt;"",2018,IF(F199&lt;&gt;"",2019,IF(G199&lt;&gt;"",2020,IF(H199&lt;&gt;"",2021,IF(I199&lt;&gt;"",2022,IF(J199&lt;&gt;"",2023,IF(K199&lt;&gt;"",2024,IF(L199&lt;&gt;"",2025,""))))))))))</x:f>
        <x:v>2019</x:v>
      </x:c>
      <x:c r="O199" s="300" t="n">
        <x:f>IF(L199&lt;&gt;"",2025,IF(K199&lt;&gt;"",2024,IF(J199&lt;&gt;"",2023,IF(I199&lt;&gt;"",2022,IF(H199&lt;&gt;"",2021,IF(G199&lt;&gt;"",2020,IF(F199&lt;&gt;"",2019,IF(E199&lt;&gt;"",2018,IF(D199&lt;&gt;"",2017,IF(C199&lt;&gt;"",2016,""))))))))))</x:f>
        <x:v>2019</x:v>
      </x:c>
      <x:c r="P199" s="299" t="str">
        <x:v>Exited flagship; may continue on specialist Hype Cycles</x:v>
      </x:c>
      <x:c r="Q199" s="299" t="str">
        <x:v>Established / mainstream</x:v>
      </x:c>
      <x:c r="R199" s="299" t="str">
        <x:v>By 2026 this capability is commercially established or embedded in mainstream enterprise/consumer technology, even if the original Gartner label is no longer prominent.</x:v>
      </x:c>
      <x:c r="S199" s="299" t="str"/>
      <x:c r="T199" s="300" t="str">
        <x:f>IFERROR(INDEX($C199:$L199,1,MATCH($N199,$C$4:$L$4,0)),"")</x:f>
        <x:v>IT</x:v>
      </x:c>
      <x:c r="U199" s="300" t="n">
        <x:f>IFERROR(VLOOKUP(T199,'Adoption Methodology'!$F$18:$G$22,2,FALSE),"")</x:f>
        <x:v>1</x:v>
      </x:c>
      <x:c r="V199" s="299" t="str">
        <x:f>IFERROR(VLOOKUP(U199,'Adoption Methodology'!$A$5:$C$10,3,FALSE),"")</x:f>
        <x:v>≈1–5% of relevant market; prototypes, pilots or very early deployments</x:v>
      </x:c>
      <x:c r="W199" s="300" t="n">
        <x:f>IFERROR(VLOOKUP(Q199,'Adoption Methodology'!$F$5:$H$12,2,FALSE),"")</x:f>
        <x:v>5</x:v>
      </x:c>
      <x:c r="X199" s="299" t="str">
        <x:f>IFERROR(VLOOKUP(W199,'Adoption Methodology'!$A$5:$C$10,3,FALSE),"")</x:f>
        <x:v>&gt;60% in leading/addressable segments, or effectively a standard/default capability</x:v>
      </x:c>
      <x:c r="Y199" s="300" t="n">
        <x:f>IF(OR(U199="",W199=""),"",W199-U199)</x:f>
        <x:v>4</x:v>
      </x:c>
      <x:c r="Z199" s="299" t="str">
        <x:f>IF(Y199="","",IF(Y199&gt;0,"Adoption increased",IF(Y199=0,"Broadly unchanged","Adoption maturity lower")))</x:f>
        <x:v>Adoption increased</x:v>
      </x:c>
      <x:c r="AA199" s="300" t="str">
        <x:f>IFERROR(VLOOKUP(Q199,'Adoption Methodology'!$F$5:$H$12,3,FALSE),"Medium")</x:f>
        <x:v>High</x:v>
      </x:c>
      <x:c r="AB199" s="299" t="str">
        <x:f>IFERROR(VLOOKUP(A199,'Adoption Methodology'!$K$5:$L$14,2,FALSE),IFERROR(VLOOKUP(B199,'Adoption Methodology'!$N$5:$O$16,2,FALSE),"https://www.gartner.com/en/information-technology/technology-adoption-roadmaps"))</x:f>
        <x:v>https://www.mckinsey.com/capabilities/quantumblack/our-insights/the-state-of-ai</x:v>
      </x:c>
      <x:c r="AC199" s="299" t="str">
        <x:f>IF(R199="","Modelled adoption maturity; see Adoption Methodology.",R199&amp;"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00">
      <x:c r="A200" s="299" t="str">
        <x:v>Technological Sovereignty</x:v>
      </x:c>
      <x:c r="B200" s="299" t="str">
        <x:v>Business / Emerging Technology</x:v>
      </x:c>
      <x:c r="C200" s="300" t="str"/>
      <x:c r="D200" s="300" t="str"/>
      <x:c r="E200" s="300" t="str"/>
      <x:c r="F200" s="300" t="str"/>
      <x:c r="G200" s="300" t="str"/>
      <x:c r="H200" s="300" t="str"/>
      <x:c r="I200" s="300" t="str"/>
      <x:c r="J200" s="300" t="str"/>
      <x:c r="K200" s="300" t="str"/>
      <x:c r="L200" s="300" t="str">
        <x:v>PE</x:v>
      </x:c>
      <x:c r="M200" s="300" t="n">
        <x:f>COUNTIF(C200:L200,"IT")+COUNTIF(C200:L200,"PE")+COUNTIF(C200:L200,"TD")+COUNTIF(C200:L200,"SE")+COUNTIF(C200:L200,"PP")</x:f>
        <x:v>1</x:v>
      </x:c>
      <x:c r="N200" s="300" t="n">
        <x:f>IF(C200&lt;&gt;"",2016,IF(D200&lt;&gt;"",2017,IF(E200&lt;&gt;"",2018,IF(F200&lt;&gt;"",2019,IF(G200&lt;&gt;"",2020,IF(H200&lt;&gt;"",2021,IF(I200&lt;&gt;"",2022,IF(J200&lt;&gt;"",2023,IF(K200&lt;&gt;"",2024,IF(L200&lt;&gt;"",2025,""))))))))))</x:f>
        <x:v>2025</x:v>
      </x:c>
      <x:c r="O200" s="300" t="n">
        <x:f>IF(L200&lt;&gt;"",2025,IF(K200&lt;&gt;"",2024,IF(J200&lt;&gt;"",2023,IF(I200&lt;&gt;"",2022,IF(H200&lt;&gt;"",2021,IF(G200&lt;&gt;"",2020,IF(F200&lt;&gt;"",2019,IF(E200&lt;&gt;"",2018,IF(D200&lt;&gt;"",2017,IF(C200&lt;&gt;"",2016,""))))))))))</x:f>
        <x:v>2025</x:v>
      </x:c>
      <x:c r="P200" s="299" t="str">
        <x:v>Still on the 2025 flagship</x:v>
      </x:c>
      <x:c r="Q200" s="299" t="str">
        <x:v>Still emerging / evolving</x:v>
      </x:c>
      <x:c r="R200" s="299" t="str">
        <x:v>By 2026 the category is still evolving quickly; commercial adoption exists or is beginning, but maturity and durable ROI vary significantly.</x:v>
      </x:c>
      <x:c r="S200" s="299" t="str"/>
      <x:c r="T200" s="300" t="str">
        <x:f>IFERROR(INDEX($C200:$L200,1,MATCH($N200,$C$4:$L$4,0)),"")</x:f>
        <x:v>PE</x:v>
      </x:c>
      <x:c r="U200" s="300" t="n">
        <x:f>IFERROR(VLOOKUP(T200,'Adoption Methodology'!$F$18:$G$22,2,FALSE),"")</x:f>
        <x:v>2</x:v>
      </x:c>
      <x:c r="V200" s="299" t="str">
        <x:f>IFERROR(VLOOKUP(U200,'Adoption Methodology'!$A$5:$C$10,3,FALSE),"")</x:f>
        <x:v>≈5–15% of relevant market; credible deployments but limited scale</x:v>
      </x:c>
      <x:c r="W200" s="300" t="n">
        <x:f>IFERROR(VLOOKUP(Q200,'Adoption Methodology'!$F$5:$H$12,2,FALSE),"")</x:f>
        <x:v>2</x:v>
      </x:c>
      <x:c r="X200" s="299" t="str">
        <x:f>IFERROR(VLOOKUP(W200,'Adoption Methodology'!$A$5:$C$10,3,FALSE),"")</x:f>
        <x:v>≈5–15% of relevant market; credible deployments but limited scale</x:v>
      </x:c>
      <x:c r="Y200" s="300" t="n">
        <x:f>IF(OR(U200="",W200=""),"",W200-U200)</x:f>
        <x:v>0</x:v>
      </x:c>
      <x:c r="Z200" s="299" t="str">
        <x:f>IF(Y200="","",IF(Y200&gt;0,"Adoption increased",IF(Y200=0,"Broadly unchanged","Adoption maturity lower")))</x:f>
      </x:c>
      <x:c r="AA200" s="300" t="str">
        <x:f>IFERROR(VLOOKUP(Q200,'Adoption Methodology'!$F$5:$H$12,3,FALSE),"Medium")</x:f>
        <x:v>Medium</x:v>
      </x:c>
      <x:c r="AB200" s="299" t="str">
        <x:f>IFERROR(VLOOKUP(A200,'Adoption Methodology'!$K$5:$L$14,2,FALSE),IFERROR(VLOOKUP(B200,'Adoption Methodology'!$N$5:$O$16,2,FALSE),"https://www.gartner.com/en/information-technology/technology-adoption-roadmaps"))</x:f>
        <x:v>https://www.gartner.com/en/information-technology/technology-adoption-roadmaps</x:v>
      </x:c>
      <x:c r="AC200" s="299" t="str">
        <x:f>IF(R200="","Modelled adoption maturity; see Adoption Methodology.",R200&amp;"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201">
      <x:c r="A201" s="299" t="str">
        <x:v>Transfer Learning</x:v>
      </x:c>
      <x:c r="B201" s="299" t="str">
        <x:v>AI / Data / Analytics</x:v>
      </x:c>
      <x:c r="C201" s="300" t="str"/>
      <x:c r="D201" s="300" t="str"/>
      <x:c r="E201" s="300" t="str"/>
      <x:c r="F201" s="300" t="str">
        <x:v>IT</x:v>
      </x:c>
      <x:c r="G201" s="300" t="str"/>
      <x:c r="H201" s="300" t="str"/>
      <x:c r="I201" s="300" t="str"/>
      <x:c r="J201" s="300" t="str"/>
      <x:c r="K201" s="300" t="str"/>
      <x:c r="L201" s="300" t="str"/>
      <x:c r="M201" s="300" t="n">
        <x:f>COUNTIF(C201:L201,"IT")+COUNTIF(C201:L201,"PE")+COUNTIF(C201:L201,"TD")+COUNTIF(C201:L201,"SE")+COUNTIF(C201:L201,"PP")</x:f>
        <x:v>1</x:v>
      </x:c>
      <x:c r="N201" s="300" t="n">
        <x:f>IF(C201&lt;&gt;"",2016,IF(D201&lt;&gt;"",2017,IF(E201&lt;&gt;"",2018,IF(F201&lt;&gt;"",2019,IF(G201&lt;&gt;"",2020,IF(H201&lt;&gt;"",2021,IF(I201&lt;&gt;"",2022,IF(J201&lt;&gt;"",2023,IF(K201&lt;&gt;"",2024,IF(L201&lt;&gt;"",2025,""))))))))))</x:f>
        <x:v>2019</x:v>
      </x:c>
      <x:c r="O201" s="300" t="n">
        <x:f>IF(L201&lt;&gt;"",2025,IF(K201&lt;&gt;"",2024,IF(J201&lt;&gt;"",2023,IF(I201&lt;&gt;"",2022,IF(H201&lt;&gt;"",2021,IF(G201&lt;&gt;"",2020,IF(F201&lt;&gt;"",2019,IF(E201&lt;&gt;"",2018,IF(D201&lt;&gt;"",2017,IF(C201&lt;&gt;"",2016,""))))))))))</x:f>
        <x:v>2019</x:v>
      </x:c>
      <x:c r="P201" s="299" t="str">
        <x:v>Exited flagship; may continue on specialist Hype Cycles</x:v>
      </x:c>
      <x:c r="Q201" s="299" t="str">
        <x:v>Established / mainstream</x:v>
      </x:c>
      <x:c r="R201" s="299" t="str">
        <x:v>By 2026 this capability is commercially established or embedded in mainstream enterprise/consumer technology, even if the original Gartner label is no longer prominent.</x:v>
      </x:c>
      <x:c r="S201" s="299" t="str"/>
      <x:c r="T201" s="300" t="str">
        <x:f>IFERROR(INDEX($C201:$L201,1,MATCH($N201,$C$4:$L$4,0)),"")</x:f>
        <x:v>IT</x:v>
      </x:c>
      <x:c r="U201" s="300" t="n">
        <x:f>IFERROR(VLOOKUP(T201,'Adoption Methodology'!$F$18:$G$22,2,FALSE),"")</x:f>
        <x:v>1</x:v>
      </x:c>
      <x:c r="V201" s="299" t="str">
        <x:f>IFERROR(VLOOKUP(U201,'Adoption Methodology'!$A$5:$C$10,3,FALSE),"")</x:f>
        <x:v>≈1–5% of relevant market; prototypes, pilots or very early deployments</x:v>
      </x:c>
      <x:c r="W201" s="300" t="n">
        <x:f>IFERROR(VLOOKUP(Q201,'Adoption Methodology'!$F$5:$H$12,2,FALSE),"")</x:f>
        <x:v>5</x:v>
      </x:c>
      <x:c r="X201" s="299" t="str">
        <x:f>IFERROR(VLOOKUP(W201,'Adoption Methodology'!$A$5:$C$10,3,FALSE),"")</x:f>
        <x:v>&gt;60% in leading/addressable segments, or effectively a standard/default capability</x:v>
      </x:c>
      <x:c r="Y201" s="300" t="n">
        <x:f>IF(OR(U201="",W201=""),"",W201-U201)</x:f>
        <x:v>4</x:v>
      </x:c>
      <x:c r="Z201" s="299" t="str">
        <x:f>IF(Y201="","",IF(Y201&gt;0,"Adoption increased",IF(Y201=0,"Broadly unchanged","Adoption maturity lower")))</x:f>
        <x:v>Adoption increased</x:v>
      </x:c>
      <x:c r="AA201" s="300" t="str">
        <x:f>IFERROR(VLOOKUP(Q201,'Adoption Methodology'!$F$5:$H$12,3,FALSE),"Medium")</x:f>
        <x:v>High</x:v>
      </x:c>
      <x:c r="AB201" s="299" t="str">
        <x:f>IFERROR(VLOOKUP(A201,'Adoption Methodology'!$K$5:$L$14,2,FALSE),IFERROR(VLOOKUP(B201,'Adoption Methodology'!$N$5:$O$16,2,FALSE),"https://www.gartner.com/en/information-technology/technology-adoption-roadmaps"))</x:f>
        <x:v>https://www.mckinsey.com/capabilities/quantumblack/our-insights/the-state-of-ai</x:v>
      </x:c>
      <x:c r="AC201" s="299" t="str">
        <x:f>IF(R201="","Modelled adoption maturity; see Adoption Methodology.",R201&amp;"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02">
      <x:c r="A202" s="299" t="str">
        <x:v>Value Stream Management Platforms</x:v>
      </x:c>
      <x:c r="B202" s="299" t="str">
        <x:v>Business / Emerging Technology</x:v>
      </x:c>
      <x:c r="C202" s="300" t="str"/>
      <x:c r="D202" s="300" t="str"/>
      <x:c r="E202" s="300" t="str"/>
      <x:c r="F202" s="300" t="str"/>
      <x:c r="G202" s="300" t="str"/>
      <x:c r="H202" s="300" t="str"/>
      <x:c r="I202" s="300" t="str"/>
      <x:c r="J202" s="300" t="str">
        <x:v>IT</x:v>
      </x:c>
      <x:c r="K202" s="300" t="str"/>
      <x:c r="L202" s="300" t="str"/>
      <x:c r="M202" s="300" t="n">
        <x:f>COUNTIF(C202:L202,"IT")+COUNTIF(C202:L202,"PE")+COUNTIF(C202:L202,"TD")+COUNTIF(C202:L202,"SE")+COUNTIF(C202:L202,"PP")</x:f>
        <x:v>1</x:v>
      </x:c>
      <x:c r="N202" s="300" t="n">
        <x:f>IF(C202&lt;&gt;"",2016,IF(D202&lt;&gt;"",2017,IF(E202&lt;&gt;"",2018,IF(F202&lt;&gt;"",2019,IF(G202&lt;&gt;"",2020,IF(H202&lt;&gt;"",2021,IF(I202&lt;&gt;"",2022,IF(J202&lt;&gt;"",2023,IF(K202&lt;&gt;"",2024,IF(L202&lt;&gt;"",2025,""))))))))))</x:f>
        <x:v>2023</x:v>
      </x:c>
      <x:c r="O202" s="300" t="n">
        <x:f>IF(L202&lt;&gt;"",2025,IF(K202&lt;&gt;"",2024,IF(J202&lt;&gt;"",2023,IF(I202&lt;&gt;"",2022,IF(H202&lt;&gt;"",2021,IF(G202&lt;&gt;"",2020,IF(F202&lt;&gt;"",2019,IF(E202&lt;&gt;"",2018,IF(D202&lt;&gt;"",2017,IF(C202&lt;&gt;"",2016,""))))))))))</x:f>
        <x:v>2023</x:v>
      </x:c>
      <x:c r="P202" s="299" t="str">
        <x:v>Exited flagship; may continue on specialist Hype Cycles</x:v>
      </x:c>
      <x:c r="Q202" s="299" t="str">
        <x:v>Established / specialist</x:v>
      </x:c>
      <x:c r="R202" s="299" t="str">
        <x:v>By 2026 there are credible production uses and vendors, but adoption is concentrated in particular workloads, industries or architectures rather than universal.</x:v>
      </x:c>
      <x:c r="S202" s="299" t="str"/>
      <x:c r="T202" s="300" t="str">
        <x:f>IFERROR(INDEX($C202:$L202,1,MATCH($N202,$C$4:$L$4,0)),"")</x:f>
        <x:v>IT</x:v>
      </x:c>
      <x:c r="U202" s="300" t="n">
        <x:f>IFERROR(VLOOKUP(T202,'Adoption Methodology'!$F$18:$G$22,2,FALSE),"")</x:f>
        <x:v>1</x:v>
      </x:c>
      <x:c r="V202" s="299" t="str">
        <x:f>IFERROR(VLOOKUP(U202,'Adoption Methodology'!$A$5:$C$10,3,FALSE),"")</x:f>
        <x:v>≈1–5% of relevant market; prototypes, pilots or very early deployments</x:v>
      </x:c>
      <x:c r="W202" s="300" t="n">
        <x:f>IFERROR(VLOOKUP(Q202,'Adoption Methodology'!$F$5:$H$12,2,FALSE),"")</x:f>
        <x:v>4</x:v>
      </x:c>
      <x:c r="X202" s="299" t="str">
        <x:f>IFERROR(VLOOKUP(W202,'Adoption Methodology'!$A$5:$C$10,3,FALSE),"")</x:f>
        <x:v>≈35–60% within the addressable segment; mature specialist use</x:v>
      </x:c>
      <x:c r="Y202" s="300" t="n">
        <x:f>IF(OR(U202="",W202=""),"",W202-U202)</x:f>
        <x:v>3</x:v>
      </x:c>
      <x:c r="Z202" s="299" t="str">
        <x:f>IF(Y202="","",IF(Y202&gt;0,"Adoption increased",IF(Y202=0,"Broadly unchanged","Adoption maturity lower")))</x:f>
        <x:v>Adoption increased</x:v>
      </x:c>
      <x:c r="AA202" s="300" t="str">
        <x:f>IFERROR(VLOOKUP(Q202,'Adoption Methodology'!$F$5:$H$12,3,FALSE),"Medium")</x:f>
        <x:v>High</x:v>
      </x:c>
      <x:c r="AB202" s="299" t="str">
        <x:f>IFERROR(VLOOKUP(A202,'Adoption Methodology'!$K$5:$L$14,2,FALSE),IFERROR(VLOOKUP(B202,'Adoption Methodology'!$N$5:$O$16,2,FALSE),"https://www.gartner.com/en/information-technology/technology-adoption-roadmaps"))</x:f>
        <x:v>https://www.gartner.com/en/information-technology/technology-adoption-roadmaps</x:v>
      </x:c>
      <x:c r="AC202" s="299" t="str">
        <x:f>IF(R202="","Modelled adoption maturity; see Adoption Methodology.",R202&amp;" Adoption band is a modelled maturity estimate rather than a like-for-like market-share statistic.")</x:f>
        <x:v>By 2026 there are credible production uses and vendors, but adoption is concentrated in particular workloads, industries or architectures rather than universal. Adoption band is a modelled maturity estimate rather than a like-for-like market-share statistic.</x:v>
      </x:c>
    </x:row>
    <x:row r="203">
      <x:c r="A203" s="299" t="str">
        <x:v>Vibe Coding</x:v>
      </x:c>
      <x:c r="B203" s="299" t="str">
        <x:v>Business / Emerging Technology</x:v>
      </x:c>
      <x:c r="C203" s="300" t="str"/>
      <x:c r="D203" s="300" t="str"/>
      <x:c r="E203" s="300" t="str"/>
      <x:c r="F203" s="300" t="str"/>
      <x:c r="G203" s="300" t="str"/>
      <x:c r="H203" s="300" t="str"/>
      <x:c r="I203" s="300" t="str"/>
      <x:c r="J203" s="300" t="str"/>
      <x:c r="K203" s="300" t="str"/>
      <x:c r="L203" s="300" t="str">
        <x:v>IT</x:v>
      </x:c>
      <x:c r="M203" s="300" t="n">
        <x:f>COUNTIF(C203:L203,"IT")+COUNTIF(C203:L203,"PE")+COUNTIF(C203:L203,"TD")+COUNTIF(C203:L203,"SE")+COUNTIF(C203:L203,"PP")</x:f>
        <x:v>1</x:v>
      </x:c>
      <x:c r="N203" s="300" t="n">
        <x:f>IF(C203&lt;&gt;"",2016,IF(D203&lt;&gt;"",2017,IF(E203&lt;&gt;"",2018,IF(F203&lt;&gt;"",2019,IF(G203&lt;&gt;"",2020,IF(H203&lt;&gt;"",2021,IF(I203&lt;&gt;"",2022,IF(J203&lt;&gt;"",2023,IF(K203&lt;&gt;"",2024,IF(L203&lt;&gt;"",2025,""))))))))))</x:f>
        <x:v>2025</x:v>
      </x:c>
      <x:c r="O203" s="300" t="n">
        <x:f>IF(L203&lt;&gt;"",2025,IF(K203&lt;&gt;"",2024,IF(J203&lt;&gt;"",2023,IF(I203&lt;&gt;"",2022,IF(H203&lt;&gt;"",2021,IF(G203&lt;&gt;"",2020,IF(F203&lt;&gt;"",2019,IF(E203&lt;&gt;"",2018,IF(D203&lt;&gt;"",2017,IF(C203&lt;&gt;"",2016,""))))))))))</x:f>
        <x:v>2025</x:v>
      </x:c>
      <x:c r="P203" s="299" t="str">
        <x:v>Still on the 2025 flagship</x:v>
      </x:c>
      <x:c r="Q203" s="299" t="str">
        <x:v>Still emerging / evolving</x:v>
      </x:c>
      <x:c r="R203" s="299" t="str">
        <x:v>By 2026 the category is still evolving quickly; commercial adoption exists or is beginning, but maturity and durable ROI vary significantly.</x:v>
      </x:c>
      <x:c r="S203" s="299" t="str"/>
      <x:c r="T203" s="300" t="str">
        <x:f>IFERROR(INDEX($C203:$L203,1,MATCH($N203,$C$4:$L$4,0)),"")</x:f>
        <x:v>IT</x:v>
      </x:c>
      <x:c r="U203" s="300" t="n">
        <x:f>IFERROR(VLOOKUP(T203,'Adoption Methodology'!$F$18:$G$22,2,FALSE),"")</x:f>
        <x:v>1</x:v>
      </x:c>
      <x:c r="V203" s="299" t="str">
        <x:f>IFERROR(VLOOKUP(U203,'Adoption Methodology'!$A$5:$C$10,3,FALSE),"")</x:f>
        <x:v>≈1–5% of relevant market; prototypes, pilots or very early deployments</x:v>
      </x:c>
      <x:c r="W203" s="300" t="n">
        <x:f>IFERROR(VLOOKUP(Q203,'Adoption Methodology'!$F$5:$H$12,2,FALSE),"")</x:f>
        <x:v>2</x:v>
      </x:c>
      <x:c r="X203" s="299" t="str">
        <x:f>IFERROR(VLOOKUP(W203,'Adoption Methodology'!$A$5:$C$10,3,FALSE),"")</x:f>
        <x:v>≈5–15% of relevant market; credible deployments but limited scale</x:v>
      </x:c>
      <x:c r="Y203" s="300" t="n">
        <x:f>IF(OR(U203="",W203=""),"",W203-U203)</x:f>
        <x:v>1</x:v>
      </x:c>
      <x:c r="Z203" s="299" t="str">
        <x:f>IF(Y203="","",IF(Y203&gt;0,"Adoption increased",IF(Y203=0,"Broadly unchanged","Adoption maturity lower")))</x:f>
        <x:v>Adoption increased</x:v>
      </x:c>
      <x:c r="AA203" s="300" t="str">
        <x:f>IFERROR(VLOOKUP(Q203,'Adoption Methodology'!$F$5:$H$12,3,FALSE),"Medium")</x:f>
        <x:v>Medium</x:v>
      </x:c>
      <x:c r="AB203" s="299" t="str">
        <x:f>IFERROR(VLOOKUP(A203,'Adoption Methodology'!$K$5:$L$14,2,FALSE),IFERROR(VLOOKUP(B203,'Adoption Methodology'!$N$5:$O$16,2,FALSE),"https://www.gartner.com/en/information-technology/technology-adoption-roadmaps"))</x:f>
        <x:v>https://www.gartner.com/en/information-technology/technology-adoption-roadmaps</x:v>
      </x:c>
      <x:c r="AC203" s="299" t="str">
        <x:f>IF(R203="","Modelled adoption maturity; see Adoption Methodology.",R203&amp;" Adoption band is a modelled maturity estimate rather than a like-for-like market-share statistic.")</x:f>
        <x:v>By 2026 the category is still evolving quickly; commercial adoption exists or is beginning, but maturity and durable ROI vary significantly. Adoption band is a modelled maturity estimate rather than a like-for-like market-share statistic.</x:v>
      </x:c>
    </x:row>
    <x:row r="204">
      <x:c r="A204" s="299" t="str">
        <x:v>Virtual Assistants</x:v>
      </x:c>
      <x:c r="B204" s="299" t="str">
        <x:v>Business / Emerging Technology</x:v>
      </x:c>
      <x:c r="C204" s="300" t="str"/>
      <x:c r="D204" s="300" t="str">
        <x:v>PE</x:v>
      </x:c>
      <x:c r="E204" s="300" t="str">
        <x:v>PE</x:v>
      </x:c>
      <x:c r="F204" s="300" t="str"/>
      <x:c r="G204" s="300" t="str"/>
      <x:c r="H204" s="300" t="str"/>
      <x:c r="I204" s="300" t="str"/>
      <x:c r="J204" s="300" t="str"/>
      <x:c r="K204" s="300" t="str"/>
      <x:c r="L204" s="300" t="str"/>
      <x:c r="M204" s="300" t="n">
        <x:f>COUNTIF(C204:L204,"IT")+COUNTIF(C204:L204,"PE")+COUNTIF(C204:L204,"TD")+COUNTIF(C204:L204,"SE")+COUNTIF(C204:L204,"PP")</x:f>
        <x:v>2</x:v>
      </x:c>
      <x:c r="N204" s="300" t="n">
        <x:f>IF(C204&lt;&gt;"",2016,IF(D204&lt;&gt;"",2017,IF(E204&lt;&gt;"",2018,IF(F204&lt;&gt;"",2019,IF(G204&lt;&gt;"",2020,IF(H204&lt;&gt;"",2021,IF(I204&lt;&gt;"",2022,IF(J204&lt;&gt;"",2023,IF(K204&lt;&gt;"",2024,IF(L204&lt;&gt;"",2025,""))))))))))</x:f>
        <x:v>2017</x:v>
      </x:c>
      <x:c r="O204" s="300" t="n">
        <x:f>IF(L204&lt;&gt;"",2025,IF(K204&lt;&gt;"",2024,IF(J204&lt;&gt;"",2023,IF(I204&lt;&gt;"",2022,IF(H204&lt;&gt;"",2021,IF(G204&lt;&gt;"",2020,IF(F204&lt;&gt;"",2019,IF(E204&lt;&gt;"",2018,IF(D204&lt;&gt;"",2017,IF(C204&lt;&gt;"",2016,""))))))))))</x:f>
        <x:v>2018</x:v>
      </x:c>
      <x:c r="P204" s="299" t="str">
        <x:v>Exited flagship; may continue on specialist Hype Cycles</x:v>
      </x:c>
      <x:c r="Q204" s="299" t="str">
        <x:v>Established / mainstream</x:v>
      </x:c>
      <x:c r="R204" s="299" t="str">
        <x:v>By 2026 this capability is commercially established or embedded in mainstream enterprise/consumer technology, even if the original Gartner label is no longer prominent.</x:v>
      </x:c>
      <x:c r="S204" s="299" t="str">
        <x:v>Related to virtual personal assistants; later absorbed into conversational/GenAI assistants.</x:v>
      </x:c>
      <x:c r="T204" s="300" t="str">
        <x:f>IFERROR(INDEX($C204:$L204,1,MATCH($N204,$C$4:$L$4,0)),"")</x:f>
        <x:v>PE</x:v>
      </x:c>
      <x:c r="U204" s="300" t="n">
        <x:f>IFERROR(VLOOKUP(T204,'Adoption Methodology'!$F$18:$G$22,2,FALSE),"")</x:f>
        <x:v>2</x:v>
      </x:c>
      <x:c r="V204" s="299" t="str">
        <x:f>IFERROR(VLOOKUP(U204,'Adoption Methodology'!$A$5:$C$10,3,FALSE),"")</x:f>
        <x:v>≈5–15% of relevant market; credible deployments but limited scale</x:v>
      </x:c>
      <x:c r="W204" s="300" t="n">
        <x:f>IFERROR(VLOOKUP(Q204,'Adoption Methodology'!$F$5:$H$12,2,FALSE),"")</x:f>
        <x:v>5</x:v>
      </x:c>
      <x:c r="X204" s="299" t="str">
        <x:f>IFERROR(VLOOKUP(W204,'Adoption Methodology'!$A$5:$C$10,3,FALSE),"")</x:f>
        <x:v>&gt;60% in leading/addressable segments, or effectively a standard/default capability</x:v>
      </x:c>
      <x:c r="Y204" s="300" t="n">
        <x:f>IF(OR(U204="",W204=""),"",W204-U204)</x:f>
        <x:v>3</x:v>
      </x:c>
      <x:c r="Z204" s="299" t="str">
        <x:f>IF(Y204="","",IF(Y204&gt;0,"Adoption increased",IF(Y204=0,"Broadly unchanged","Adoption maturity lower")))</x:f>
        <x:v>Adoption increased</x:v>
      </x:c>
      <x:c r="AA204" s="300" t="str">
        <x:f>IFERROR(VLOOKUP(Q204,'Adoption Methodology'!$F$5:$H$12,3,FALSE),"Medium")</x:f>
        <x:v>High</x:v>
      </x:c>
      <x:c r="AB204" s="299" t="str">
        <x:f>IFERROR(VLOOKUP(A204,'Adoption Methodology'!$K$5:$L$14,2,FALSE),IFERROR(VLOOKUP(B204,'Adoption Methodology'!$N$5:$O$16,2,FALSE),"https://www.gartner.com/en/information-technology/technology-adoption-roadmaps"))</x:f>
        <x:v>https://www.gartner.com/en/information-technology/technology-adoption-roadmaps</x:v>
      </x:c>
      <x:c r="AC204" s="299" t="str">
        <x:f>IF(R204="","Modelled adoption maturity; see Adoption Methodology.",R204&amp;"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05">
      <x:c r="A205" s="299" t="str">
        <x:v>Virtual Personal Assistants</x:v>
      </x:c>
      <x:c r="B205" s="299" t="str">
        <x:v>Business / Emerging Technology</x:v>
      </x:c>
      <x:c r="C205" s="300" t="str">
        <x:v>IT</x:v>
      </x:c>
      <x:c r="D205" s="300" t="str"/>
      <x:c r="E205" s="300" t="str"/>
      <x:c r="F205" s="300" t="str"/>
      <x:c r="G205" s="300" t="str"/>
      <x:c r="H205" s="300" t="str"/>
      <x:c r="I205" s="300" t="str"/>
      <x:c r="J205" s="300" t="str"/>
      <x:c r="K205" s="300" t="str"/>
      <x:c r="L205" s="300" t="str"/>
      <x:c r="M205" s="300" t="n">
        <x:f>COUNTIF(C205:L205,"IT")+COUNTIF(C205:L205,"PE")+COUNTIF(C205:L205,"TD")+COUNTIF(C205:L205,"SE")+COUNTIF(C205:L205,"PP")</x:f>
        <x:v>1</x:v>
      </x:c>
      <x:c r="N205" s="300" t="n">
        <x:f>IF(C205&lt;&gt;"",2016,IF(D205&lt;&gt;"",2017,IF(E205&lt;&gt;"",2018,IF(F205&lt;&gt;"",2019,IF(G205&lt;&gt;"",2020,IF(H205&lt;&gt;"",2021,IF(I205&lt;&gt;"",2022,IF(J205&lt;&gt;"",2023,IF(K205&lt;&gt;"",2024,IF(L205&lt;&gt;"",2025,""))))))))))</x:f>
        <x:v>2016</x:v>
      </x:c>
      <x:c r="O205" s="300" t="n">
        <x:f>IF(L205&lt;&gt;"",2025,IF(K205&lt;&gt;"",2024,IF(J205&lt;&gt;"",2023,IF(I205&lt;&gt;"",2022,IF(H205&lt;&gt;"",2021,IF(G205&lt;&gt;"",2020,IF(F205&lt;&gt;"",2019,IF(E205&lt;&gt;"",2018,IF(D205&lt;&gt;"",2017,IF(C205&lt;&gt;"",2016,""))))))))))</x:f>
        <x:v>2016</x:v>
      </x:c>
      <x:c r="P205" s="299" t="str">
        <x:v>Exited flagship; may continue on specialist Hype Cycles</x:v>
      </x:c>
      <x:c r="Q205" s="299" t="str">
        <x:v>Established / mainstream</x:v>
      </x:c>
      <x:c r="R205" s="299" t="str">
        <x:v>By 2026 this capability is commercially established or embedded in mainstream enterprise/consumer technology, even if the original Gartner label is no longer prominent.</x:v>
      </x:c>
      <x:c r="S205" s="299" t="str">
        <x:v>Related later label: Virtual Assistants / generative assistants.</x:v>
      </x:c>
      <x:c r="T205" s="300" t="str">
        <x:f>IFERROR(INDEX($C205:$L205,1,MATCH($N205,$C$4:$L$4,0)),"")</x:f>
        <x:v>IT</x:v>
      </x:c>
      <x:c r="U205" s="300" t="n">
        <x:f>IFERROR(VLOOKUP(T205,'Adoption Methodology'!$F$18:$G$22,2,FALSE),"")</x:f>
        <x:v>1</x:v>
      </x:c>
      <x:c r="V205" s="299" t="str">
        <x:f>IFERROR(VLOOKUP(U205,'Adoption Methodology'!$A$5:$C$10,3,FALSE),"")</x:f>
        <x:v>≈1–5% of relevant market; prototypes, pilots or very early deployments</x:v>
      </x:c>
      <x:c r="W205" s="300" t="n">
        <x:f>IFERROR(VLOOKUP(Q205,'Adoption Methodology'!$F$5:$H$12,2,FALSE),"")</x:f>
        <x:v>5</x:v>
      </x:c>
      <x:c r="X205" s="299" t="str">
        <x:f>IFERROR(VLOOKUP(W205,'Adoption Methodology'!$A$5:$C$10,3,FALSE),"")</x:f>
        <x:v>&gt;60% in leading/addressable segments, or effectively a standard/default capability</x:v>
      </x:c>
      <x:c r="Y205" s="300" t="n">
        <x:f>IF(OR(U205="",W205=""),"",W205-U205)</x:f>
        <x:v>4</x:v>
      </x:c>
      <x:c r="Z205" s="299" t="str">
        <x:f>IF(Y205="","",IF(Y205&gt;0,"Adoption increased",IF(Y205=0,"Broadly unchanged","Adoption maturity lower")))</x:f>
        <x:v>Adoption increased</x:v>
      </x:c>
      <x:c r="AA205" s="300" t="str">
        <x:f>IFERROR(VLOOKUP(Q205,'Adoption Methodology'!$F$5:$H$12,3,FALSE),"Medium")</x:f>
        <x:v>High</x:v>
      </x:c>
      <x:c r="AB205" s="299" t="str">
        <x:f>IFERROR(VLOOKUP(A205,'Adoption Methodology'!$K$5:$L$14,2,FALSE),IFERROR(VLOOKUP(B205,'Adoption Methodology'!$N$5:$O$16,2,FALSE),"https://www.gartner.com/en/information-technology/technology-adoption-roadmaps"))</x:f>
        <x:v>https://www.gartner.com/en/information-technology/technology-adoption-roadmaps</x:v>
      </x:c>
      <x:c r="AC205" s="299" t="str">
        <x:f>IF(R205="","Modelled adoption maturity; see Adoption Methodology.",R205&amp;"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06">
      <x:c r="A206" s="299" t="str">
        <x:v>Virtual Reality</x:v>
      </x:c>
      <x:c r="B206" s="299" t="str">
        <x:v>Experience / Spatial Computing</x:v>
      </x:c>
      <x:c r="C206" s="300" t="str">
        <x:v>SE</x:v>
      </x:c>
      <x:c r="D206" s="300" t="str">
        <x:v>SE</x:v>
      </x:c>
      <x:c r="E206" s="300" t="str"/>
      <x:c r="F206" s="300" t="str"/>
      <x:c r="G206" s="300" t="str"/>
      <x:c r="H206" s="300" t="str"/>
      <x:c r="I206" s="300" t="str"/>
      <x:c r="J206" s="300" t="str"/>
      <x:c r="K206" s="300" t="str"/>
      <x:c r="L206" s="300" t="str"/>
      <x:c r="M206" s="300" t="n">
        <x:f>COUNTIF(C206:L206,"IT")+COUNTIF(C206:L206,"PE")+COUNTIF(C206:L206,"TD")+COUNTIF(C206:L206,"SE")+COUNTIF(C206:L206,"PP")</x:f>
        <x:v>2</x:v>
      </x:c>
      <x:c r="N206" s="300" t="n">
        <x:f>IF(C206&lt;&gt;"",2016,IF(D206&lt;&gt;"",2017,IF(E206&lt;&gt;"",2018,IF(F206&lt;&gt;"",2019,IF(G206&lt;&gt;"",2020,IF(H206&lt;&gt;"",2021,IF(I206&lt;&gt;"",2022,IF(J206&lt;&gt;"",2023,IF(K206&lt;&gt;"",2024,IF(L206&lt;&gt;"",2025,""))))))))))</x:f>
        <x:v>2016</x:v>
      </x:c>
      <x:c r="O206" s="300" t="n">
        <x:f>IF(L206&lt;&gt;"",2025,IF(K206&lt;&gt;"",2024,IF(J206&lt;&gt;"",2023,IF(I206&lt;&gt;"",2022,IF(H206&lt;&gt;"",2021,IF(G206&lt;&gt;"",2020,IF(F206&lt;&gt;"",2019,IF(E206&lt;&gt;"",2018,IF(D206&lt;&gt;"",2017,IF(C206&lt;&gt;"",2016,""))))))))))</x:f>
        <x:v>2017</x:v>
      </x:c>
      <x:c r="P206" s="299" t="str">
        <x:v>Exited flagship; may continue on specialist Hype Cycles</x:v>
      </x:c>
      <x:c r="Q206" s="299" t="str">
        <x:v>Established / mainstream</x:v>
      </x:c>
      <x:c r="R206" s="299" t="str">
        <x:v>By 2026 this capability is commercially established or embedded in mainstream enterprise/consumer technology, even if the original Gartner label is no longer prominent.</x:v>
      </x:c>
      <x:c r="S206" s="299" t="str"/>
      <x:c r="T206" s="300" t="str">
        <x:f>IFERROR(INDEX($C206:$L206,1,MATCH($N206,$C$4:$L$4,0)),"")</x:f>
        <x:v>SE</x:v>
      </x:c>
      <x:c r="U206" s="300" t="n">
        <x:f>IFERROR(VLOOKUP(T206,'Adoption Methodology'!$F$18:$G$22,2,FALSE),"")</x:f>
        <x:v>3</x:v>
      </x:c>
      <x:c r="V206" s="299" t="str">
        <x:f>IFERROR(VLOOKUP(U206,'Adoption Methodology'!$A$5:$C$10,3,FALSE),"")</x:f>
        <x:v>≈15–35% of relevant market, or capability absorbed into successor platforms</x:v>
      </x:c>
      <x:c r="W206" s="300" t="n">
        <x:f>IFERROR(VLOOKUP(Q206,'Adoption Methodology'!$F$5:$H$12,2,FALSE),"")</x:f>
        <x:v>5</x:v>
      </x:c>
      <x:c r="X206" s="299" t="str">
        <x:f>IFERROR(VLOOKUP(W206,'Adoption Methodology'!$A$5:$C$10,3,FALSE),"")</x:f>
        <x:v>&gt;60% in leading/addressable segments, or effectively a standard/default capability</x:v>
      </x:c>
      <x:c r="Y206" s="300" t="n">
        <x:f>IF(OR(U206="",W206=""),"",W206-U206)</x:f>
        <x:v>2</x:v>
      </x:c>
      <x:c r="Z206" s="299" t="str">
        <x:f>IF(Y206="","",IF(Y206&gt;0,"Adoption increased",IF(Y206=0,"Broadly unchanged","Adoption maturity lower")))</x:f>
        <x:v>Adoption increased</x:v>
      </x:c>
      <x:c r="AA206" s="300" t="str">
        <x:f>IFERROR(VLOOKUP(Q206,'Adoption Methodology'!$F$5:$H$12,3,FALSE),"Medium")</x:f>
        <x:v>High</x:v>
      </x:c>
      <x:c r="AB206" s="299" t="str">
        <x:f>IFERROR(VLOOKUP(A206,'Adoption Methodology'!$K$5:$L$14,2,FALSE),IFERROR(VLOOKUP(B206,'Adoption Methodology'!$N$5:$O$16,2,FALSE),"https://www.gartner.com/en/information-technology/technology-adoption-roadmaps"))</x:f>
        <x:v>https://www.mckinsey.com/featured-insights/mckinsey-explainers/what-is-digital-twin-technology</x:v>
      </x:c>
      <x:c r="AC206" s="299" t="str">
        <x:f>IF(R206="","Modelled adoption maturity; see Adoption Methodology.",R206&amp;"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07">
      <x:c r="A207" s="299" t="str">
        <x:v>Volumetric Displays</x:v>
      </x:c>
      <x:c r="B207" s="299" t="str">
        <x:v>Experience / Spatial Computing</x:v>
      </x:c>
      <x:c r="C207" s="300" t="str">
        <x:v>IT</x:v>
      </x:c>
      <x:c r="D207" s="300" t="str">
        <x:v>IT</x:v>
      </x:c>
      <x:c r="E207" s="300" t="str">
        <x:v>IT</x:v>
      </x:c>
      <x:c r="F207" s="300" t="str"/>
      <x:c r="G207" s="300" t="str"/>
      <x:c r="H207" s="300" t="str"/>
      <x:c r="I207" s="300" t="str"/>
      <x:c r="J207" s="300" t="str"/>
      <x:c r="K207" s="300" t="str"/>
      <x:c r="L207" s="300" t="str"/>
      <x:c r="M207" s="300" t="n">
        <x:f>COUNTIF(C207:L207,"IT")+COUNTIF(C207:L207,"PE")+COUNTIF(C207:L207,"TD")+COUNTIF(C207:L207,"SE")+COUNTIF(C207:L207,"PP")</x:f>
        <x:v>3</x:v>
      </x:c>
      <x:c r="N207" s="300" t="n">
        <x:f>IF(C207&lt;&gt;"",2016,IF(D207&lt;&gt;"",2017,IF(E207&lt;&gt;"",2018,IF(F207&lt;&gt;"",2019,IF(G207&lt;&gt;"",2020,IF(H207&lt;&gt;"",2021,IF(I207&lt;&gt;"",2022,IF(J207&lt;&gt;"",2023,IF(K207&lt;&gt;"",2024,IF(L207&lt;&gt;"",2025,""))))))))))</x:f>
        <x:v>2016</x:v>
      </x:c>
      <x:c r="O207" s="300" t="n">
        <x:f>IF(L207&lt;&gt;"",2025,IF(K207&lt;&gt;"",2024,IF(J207&lt;&gt;"",2023,IF(I207&lt;&gt;"",2022,IF(H207&lt;&gt;"",2021,IF(G207&lt;&gt;"",2020,IF(F207&lt;&gt;"",2019,IF(E207&lt;&gt;"",2018,IF(D207&lt;&gt;"",2017,IF(C207&lt;&gt;"",2016,""))))))))))</x:f>
        <x:v>2018</x:v>
      </x:c>
      <x:c r="P207" s="299" t="str">
        <x:v>Exited flagship; may continue on specialist Hype Cycles</x:v>
      </x:c>
      <x:c r="Q207" s="299" t="str">
        <x:v>Still emerging / long-horizon</x:v>
      </x:c>
      <x:c r="R207" s="299" t="str">
        <x:v>By 2026 the technology remains emerging, research-heavy or constrained by economics, engineering, regulation or deployment scale.</x:v>
      </x:c>
      <x:c r="S207" s="299" t="str"/>
      <x:c r="T207" s="300" t="str">
        <x:f>IFERROR(INDEX($C207:$L207,1,MATCH($N207,$C$4:$L$4,0)),"")</x:f>
        <x:v>IT</x:v>
      </x:c>
      <x:c r="U207" s="300" t="n">
        <x:f>IFERROR(VLOOKUP(T207,'Adoption Methodology'!$F$18:$G$22,2,FALSE),"")</x:f>
        <x:v>1</x:v>
      </x:c>
      <x:c r="V207" s="299" t="str">
        <x:f>IFERROR(VLOOKUP(U207,'Adoption Methodology'!$A$5:$C$10,3,FALSE),"")</x:f>
        <x:v>≈1–5% of relevant market; prototypes, pilots or very early deployments</x:v>
      </x:c>
      <x:c r="W207" s="300" t="n">
        <x:f>IFERROR(VLOOKUP(Q207,'Adoption Methodology'!$F$5:$H$12,2,FALSE),"")</x:f>
        <x:v>1</x:v>
      </x:c>
      <x:c r="X207" s="299" t="str">
        <x:f>IFERROR(VLOOKUP(W207,'Adoption Methodology'!$A$5:$C$10,3,FALSE),"")</x:f>
        <x:v>≈1–5% of relevant market; prototypes, pilots or very early deployments</x:v>
      </x:c>
      <x:c r="Y207" s="300" t="n">
        <x:f>IF(OR(U207="",W207=""),"",W207-U207)</x:f>
        <x:v>0</x:v>
      </x:c>
      <x:c r="Z207" s="299" t="str">
        <x:f>IF(Y207="","",IF(Y207&gt;0,"Adoption increased",IF(Y207=0,"Broadly unchanged","Adoption maturity lower")))</x:f>
      </x:c>
      <x:c r="AA207" s="300" t="str">
        <x:f>IFERROR(VLOOKUP(Q207,'Adoption Methodology'!$F$5:$H$12,3,FALSE),"Medium")</x:f>
        <x:v>Medium</x:v>
      </x:c>
      <x:c r="AB207" s="299" t="str">
        <x:f>IFERROR(VLOOKUP(A207,'Adoption Methodology'!$K$5:$L$14,2,FALSE),IFERROR(VLOOKUP(B207,'Adoption Methodology'!$N$5:$O$16,2,FALSE),"https://www.gartner.com/en/information-technology/technology-adoption-roadmaps"))</x:f>
        <x:v>https://www.mckinsey.com/featured-insights/mckinsey-explainers/what-is-digital-twin-technology</x:v>
      </x:c>
      <x:c r="AC207" s="299" t="str">
        <x:f>IF(R207="","Modelled adoption maturity; see Adoption Methodology.",R207&amp;" Adoption band is a modelled maturity estimate rather than a like-for-like market-share statistic.")</x:f>
        <x:v>By 2026 the technology remains emerging, research-heavy or constrained by economics, engineering, regulation or deployment scale. Adoption band is a modelled maturity estimate rather than a like-for-like market-share statistic.</x:v>
      </x:c>
    </x:row>
    <x:row r="208">
      <x:c r="A208" s="299" t="str">
        <x:v>Web3</x:v>
      </x:c>
      <x:c r="B208" s="299" t="str">
        <x:v>Blockchain / Digital Assets</x:v>
      </x:c>
      <x:c r="C208" s="300" t="str"/>
      <x:c r="D208" s="300" t="str"/>
      <x:c r="E208" s="300" t="str"/>
      <x:c r="F208" s="300" t="str"/>
      <x:c r="G208" s="300" t="str"/>
      <x:c r="H208" s="300" t="str"/>
      <x:c r="I208" s="300" t="str">
        <x:v>PE</x:v>
      </x:c>
      <x:c r="J208" s="300" t="str"/>
      <x:c r="K208" s="300" t="str"/>
      <x:c r="L208" s="300" t="str"/>
      <x:c r="M208" s="300" t="n">
        <x:f>COUNTIF(C208:L208,"IT")+COUNTIF(C208:L208,"PE")+COUNTIF(C208:L208,"TD")+COUNTIF(C208:L208,"SE")+COUNTIF(C208:L208,"PP")</x:f>
        <x:v>1</x:v>
      </x:c>
      <x:c r="N208" s="300" t="n">
        <x:f>IF(C208&lt;&gt;"",2016,IF(D208&lt;&gt;"",2017,IF(E208&lt;&gt;"",2018,IF(F208&lt;&gt;"",2019,IF(G208&lt;&gt;"",2020,IF(H208&lt;&gt;"",2021,IF(I208&lt;&gt;"",2022,IF(J208&lt;&gt;"",2023,IF(K208&lt;&gt;"",2024,IF(L208&lt;&gt;"",2025,""))))))))))</x:f>
        <x:v>2022</x:v>
      </x:c>
      <x:c r="O208" s="300" t="n">
        <x:f>IF(L208&lt;&gt;"",2025,IF(K208&lt;&gt;"",2024,IF(J208&lt;&gt;"",2023,IF(I208&lt;&gt;"",2022,IF(H208&lt;&gt;"",2021,IF(G208&lt;&gt;"",2020,IF(F208&lt;&gt;"",2019,IF(E208&lt;&gt;"",2018,IF(D208&lt;&gt;"",2017,IF(C208&lt;&gt;"",2016,""))))))))))</x:f>
        <x:v>2022</x:v>
      </x:c>
      <x:c r="P208" s="299" t="str">
        <x:v>Exited flagship; may continue on specialist Hype Cycles</x:v>
      </x:c>
      <x:c r="Q208" s="299" t="str">
        <x:v>Hype cooled / niche</x:v>
      </x:c>
      <x:c r="R208" s="299" t="str">
        <x:v>By 2026 the original hype has materially cooled; use persists in narrower or redefined applications rather than the broad promise implied at peak.</x:v>
      </x:c>
      <x:c r="S208" s="299" t="str"/>
      <x:c r="T208" s="300" t="str">
        <x:f>IFERROR(INDEX($C208:$L208,1,MATCH($N208,$C$4:$L$4,0)),"")</x:f>
        <x:v>PE</x:v>
      </x:c>
      <x:c r="U208" s="300" t="n">
        <x:f>IFERROR(VLOOKUP(T208,'Adoption Methodology'!$F$18:$G$22,2,FALSE),"")</x:f>
        <x:v>2</x:v>
      </x:c>
      <x:c r="V208" s="299" t="str">
        <x:f>IFERROR(VLOOKUP(U208,'Adoption Methodology'!$A$5:$C$10,3,FALSE),"")</x:f>
        <x:v>≈5–15% of relevant market; credible deployments but limited scale</x:v>
      </x:c>
      <x:c r="W208" s="300" t="n">
        <x:f>IFERROR(VLOOKUP(Q208,'Adoption Methodology'!$F$5:$H$12,2,FALSE),"")</x:f>
        <x:v>2</x:v>
      </x:c>
      <x:c r="X208" s="299" t="str">
        <x:f>IFERROR(VLOOKUP(W208,'Adoption Methodology'!$A$5:$C$10,3,FALSE),"")</x:f>
        <x:v>≈5–15% of relevant market; credible deployments but limited scale</x:v>
      </x:c>
      <x:c r="Y208" s="300" t="n">
        <x:f>IF(OR(U208="",W208=""),"",W208-U208)</x:f>
        <x:v>0</x:v>
      </x:c>
      <x:c r="Z208" s="299" t="str">
        <x:f>IF(Y208="","",IF(Y208&gt;0,"Adoption increased",IF(Y208=0,"Broadly unchanged","Adoption maturity lower")))</x:f>
      </x:c>
      <x:c r="AA208" s="300" t="str">
        <x:f>IFERROR(VLOOKUP(Q208,'Adoption Methodology'!$F$5:$H$12,3,FALSE),"Medium")</x:f>
        <x:v>Medium</x:v>
      </x:c>
      <x:c r="AB208" s="299" t="str">
        <x:f>IFERROR(VLOOKUP(A208,'Adoption Methodology'!$K$5:$L$14,2,FALSE),IFERROR(VLOOKUP(B208,'Adoption Methodology'!$N$5:$O$16,2,FALSE),"https://www.gartner.com/en/information-technology/technology-adoption-roadmaps"))</x:f>
        <x:v>https://www.deloitte.com/us/en/insights/topics/business-strategy-growth/2q-2025-cfo-signals-survey.html</x:v>
      </x:c>
      <x:c r="AC208" s="299" t="str">
        <x:f>IF(R208="","Modelled adoption maturity; see Adoption Methodology.",R208&amp;" Adoption band is a modelled maturity estimate rather than a like-for-like market-share statistic.")</x:f>
        <x:v>By 2026 the original hype has materially cooled; use persists in narrower or redefined applications rather than the broad promise implied at peak. Adoption band is a modelled maturity estimate rather than a like-for-like market-share statistic.</x:v>
      </x:c>
    </x:row>
    <x:row r="209">
      <x:c r="A209" s="299" t="str">
        <x:v>WebAssembly</x:v>
      </x:c>
      <x:c r="B209" s="299" t="str">
        <x:v>Cloud / Software Engineering</x:v>
      </x:c>
      <x:c r="C209" s="300" t="str"/>
      <x:c r="D209" s="300" t="str"/>
      <x:c r="E209" s="300" t="str"/>
      <x:c r="F209" s="300" t="str"/>
      <x:c r="G209" s="300" t="str"/>
      <x:c r="H209" s="300" t="str"/>
      <x:c r="I209" s="300" t="str"/>
      <x:c r="J209" s="300" t="str"/>
      <x:c r="K209" s="300" t="str">
        <x:v>PE</x:v>
      </x:c>
      <x:c r="L209" s="300" t="str"/>
      <x:c r="M209" s="300" t="n">
        <x:f>COUNTIF(C209:L209,"IT")+COUNTIF(C209:L209,"PE")+COUNTIF(C209:L209,"TD")+COUNTIF(C209:L209,"SE")+COUNTIF(C209:L209,"PP")</x:f>
        <x:v>1</x:v>
      </x:c>
      <x:c r="N209" s="300" t="n">
        <x:f>IF(C209&lt;&gt;"",2016,IF(D209&lt;&gt;"",2017,IF(E209&lt;&gt;"",2018,IF(F209&lt;&gt;"",2019,IF(G209&lt;&gt;"",2020,IF(H209&lt;&gt;"",2021,IF(I209&lt;&gt;"",2022,IF(J209&lt;&gt;"",2023,IF(K209&lt;&gt;"",2024,IF(L209&lt;&gt;"",2025,""))))))))))</x:f>
        <x:v>2024</x:v>
      </x:c>
      <x:c r="O209" s="300" t="n">
        <x:f>IF(L209&lt;&gt;"",2025,IF(K209&lt;&gt;"",2024,IF(J209&lt;&gt;"",2023,IF(I209&lt;&gt;"",2022,IF(H209&lt;&gt;"",2021,IF(G209&lt;&gt;"",2020,IF(F209&lt;&gt;"",2019,IF(E209&lt;&gt;"",2018,IF(D209&lt;&gt;"",2017,IF(C209&lt;&gt;"",2016,""))))))))))</x:f>
        <x:v>2024</x:v>
      </x:c>
      <x:c r="P209" s="299" t="str">
        <x:v>Exited flagship; may continue on specialist Hype Cycles</x:v>
      </x:c>
      <x:c r="Q209" s="299" t="str">
        <x:v>Established / mainstream</x:v>
      </x:c>
      <x:c r="R209" s="299" t="str">
        <x:v>By 2026 this capability is commercially established or embedded in mainstream enterprise/consumer technology, even if the original Gartner label is no longer prominent.</x:v>
      </x:c>
      <x:c r="S209" s="299" t="str">
        <x:v>Related wording: WebAssembly (Wasm).</x:v>
      </x:c>
      <x:c r="T209" s="300" t="str">
        <x:f>IFERROR(INDEX($C209:$L209,1,MATCH($N209,$C$4:$L$4,0)),"")</x:f>
        <x:v>PE</x:v>
      </x:c>
      <x:c r="U209" s="300" t="n">
        <x:f>IFERROR(VLOOKUP(T209,'Adoption Methodology'!$F$18:$G$22,2,FALSE),"")</x:f>
        <x:v>2</x:v>
      </x:c>
      <x:c r="V209" s="299" t="str">
        <x:f>IFERROR(VLOOKUP(U209,'Adoption Methodology'!$A$5:$C$10,3,FALSE),"")</x:f>
        <x:v>≈5–15% of relevant market; credible deployments but limited scale</x:v>
      </x:c>
      <x:c r="W209" s="300" t="n">
        <x:f>IFERROR(VLOOKUP(Q209,'Adoption Methodology'!$F$5:$H$12,2,FALSE),"")</x:f>
        <x:v>5</x:v>
      </x:c>
      <x:c r="X209" s="299" t="str">
        <x:f>IFERROR(VLOOKUP(W209,'Adoption Methodology'!$A$5:$C$10,3,FALSE),"")</x:f>
        <x:v>&gt;60% in leading/addressable segments, or effectively a standard/default capability</x:v>
      </x:c>
      <x:c r="Y209" s="300" t="n">
        <x:f>IF(OR(U209="",W209=""),"",W209-U209)</x:f>
        <x:v>3</x:v>
      </x:c>
      <x:c r="Z209" s="299" t="str">
        <x:f>IF(Y209="","",IF(Y209&gt;0,"Adoption increased",IF(Y209=0,"Broadly unchanged","Adoption maturity lower")))</x:f>
        <x:v>Adoption increased</x:v>
      </x:c>
      <x:c r="AA209" s="300" t="str">
        <x:f>IFERROR(VLOOKUP(Q209,'Adoption Methodology'!$F$5:$H$12,3,FALSE),"Medium")</x:f>
        <x:v>High</x:v>
      </x:c>
      <x:c r="AB209" s="299" t="str">
        <x:f>IFERROR(VLOOKUP(A209,'Adoption Methodology'!$K$5:$L$14,2,FALSE),IFERROR(VLOOKUP(B209,'Adoption Methodology'!$N$5:$O$16,2,FALSE),"https://www.gartner.com/en/information-technology/technology-adoption-roadmaps"))</x:f>
        <x:v>https://www.cncf.io/reports/the-cncf-annual-cloud-native-survey/</x:v>
      </x:c>
      <x:c r="AC209" s="299" t="str">
        <x:f>IF(R209="","Modelled adoption maturity; see Adoption Methodology.",R209&amp;"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row r="210">
      <x:c r="A210" s="301" t="str">
        <x:v>WebAssembly (Wasm)</x:v>
      </x:c>
      <x:c r="B210" s="301" t="str">
        <x:v>Cloud / Software Engineering</x:v>
      </x:c>
      <x:c r="C210" s="302" t="str"/>
      <x:c r="D210" s="302" t="str"/>
      <x:c r="E210" s="302" t="str"/>
      <x:c r="F210" s="302" t="str"/>
      <x:c r="G210" s="302" t="str"/>
      <x:c r="H210" s="302" t="str"/>
      <x:c r="I210" s="302" t="str"/>
      <x:c r="J210" s="302" t="str">
        <x:v>PE</x:v>
      </x:c>
      <x:c r="K210" s="302" t="str"/>
      <x:c r="L210" s="302" t="str"/>
      <x:c r="M210" s="302" t="n">
        <x:f>COUNTIF(C210:L210,"IT")+COUNTIF(C210:L210,"PE")+COUNTIF(C210:L210,"TD")+COUNTIF(C210:L210,"SE")+COUNTIF(C210:L210,"PP")</x:f>
        <x:v>1</x:v>
      </x:c>
      <x:c r="N210" s="302" t="n">
        <x:f>IF(C210&lt;&gt;"",2016,IF(D210&lt;&gt;"",2017,IF(E210&lt;&gt;"",2018,IF(F210&lt;&gt;"",2019,IF(G210&lt;&gt;"",2020,IF(H210&lt;&gt;"",2021,IF(I210&lt;&gt;"",2022,IF(J210&lt;&gt;"",2023,IF(K210&lt;&gt;"",2024,IF(L210&lt;&gt;"",2025,""))))))))))</x:f>
        <x:v>2023</x:v>
      </x:c>
      <x:c r="O210" s="302" t="n">
        <x:f>IF(L210&lt;&gt;"",2025,IF(K210&lt;&gt;"",2024,IF(J210&lt;&gt;"",2023,IF(I210&lt;&gt;"",2022,IF(H210&lt;&gt;"",2021,IF(G210&lt;&gt;"",2020,IF(F210&lt;&gt;"",2019,IF(E210&lt;&gt;"",2018,IF(D210&lt;&gt;"",2017,IF(C210&lt;&gt;"",2016,""))))))))))</x:f>
        <x:v>2023</x:v>
      </x:c>
      <x:c r="P210" s="301" t="str">
        <x:v>Exited flagship; may continue on specialist Hype Cycles</x:v>
      </x:c>
      <x:c r="Q210" s="301" t="str">
        <x:v>Established / mainstream</x:v>
      </x:c>
      <x:c r="R210" s="301" t="str">
        <x:v>By 2026 this capability is commercially established or embedded in mainstream enterprise/consumer technology, even if the original Gartner label is no longer prominent.</x:v>
      </x:c>
      <x:c r="S210" s="301" t="str">
        <x:v>Related wording: WebAssembly.</x:v>
      </x:c>
      <x:c r="T210" s="302" t="str">
        <x:f>IFERROR(INDEX($C210:$L210,1,MATCH($N210,$C$4:$L$4,0)),"")</x:f>
        <x:v>PE</x:v>
      </x:c>
      <x:c r="U210" s="302" t="n">
        <x:f>IFERROR(VLOOKUP(T210,'Adoption Methodology'!$F$18:$G$22,2,FALSE),"")</x:f>
        <x:v>2</x:v>
      </x:c>
      <x:c r="V210" s="301" t="str">
        <x:f>IFERROR(VLOOKUP(U210,'Adoption Methodology'!$A$5:$C$10,3,FALSE),"")</x:f>
        <x:v>≈5–15% of relevant market; credible deployments but limited scale</x:v>
      </x:c>
      <x:c r="W210" s="302" t="n">
        <x:f>IFERROR(VLOOKUP(Q210,'Adoption Methodology'!$F$5:$H$12,2,FALSE),"")</x:f>
        <x:v>5</x:v>
      </x:c>
      <x:c r="X210" s="301" t="str">
        <x:f>IFERROR(VLOOKUP(W210,'Adoption Methodology'!$A$5:$C$10,3,FALSE),"")</x:f>
        <x:v>&gt;60% in leading/addressable segments, or effectively a standard/default capability</x:v>
      </x:c>
      <x:c r="Y210" s="302" t="n">
        <x:f>IF(OR(U210="",W210=""),"",W210-U210)</x:f>
        <x:v>3</x:v>
      </x:c>
      <x:c r="Z210" s="301" t="str">
        <x:f>IF(Y210="","",IF(Y210&gt;0,"Adoption increased",IF(Y210=0,"Broadly unchanged","Adoption maturity lower")))</x:f>
        <x:v>Adoption increased</x:v>
      </x:c>
      <x:c r="AA210" s="302" t="str">
        <x:f>IFERROR(VLOOKUP(Q210,'Adoption Methodology'!$F$5:$H$12,3,FALSE),"Medium")</x:f>
        <x:v>High</x:v>
      </x:c>
      <x:c r="AB210" s="301" t="str">
        <x:f>IFERROR(VLOOKUP(A210,'Adoption Methodology'!$K$5:$L$14,2,FALSE),IFERROR(VLOOKUP(B210,'Adoption Methodology'!$N$5:$O$16,2,FALSE),"https://www.gartner.com/en/information-technology/technology-adoption-roadmaps"))</x:f>
        <x:v>https://www.cncf.io/reports/the-cncf-annual-cloud-native-survey/</x:v>
      </x:c>
      <x:c r="AC210" s="301" t="str">
        <x:f>IF(R210="","Modelled adoption maturity; see Adoption Methodology.",R210&amp;" Adoption band is a modelled maturity estimate rather than a like-for-like market-share statistic.")</x:f>
        <x:v>By 2026 this capability is commercially established or embedded in mainstream enterprise/consumer technology, even if the original Gartner label is no longer prominent. Adoption band is a modelled maturity estimate rather than a like-for-like market-share statistic.</x:v>
      </x:c>
    </x:row>
  </x:sheetData>
  <x:mergeCells>
    <x:mergeCell ref="A1:AC1"/>
    <x:mergeCell ref="A2:AC2"/>
  </x:mergeCells>
  <x:conditionalFormatting sqref="C5:L210">
    <x:cfRule type="expression" dxfId="0" priority="1">
      <x:formula>C5="IT"</x:formula>
    </x:cfRule>
    <x:cfRule type="expression" dxfId="1" priority="2">
      <x:formula>C5="PE"</x:formula>
    </x:cfRule>
    <x:cfRule type="expression" dxfId="2" priority="3">
      <x:formula>C5="TD"</x:formula>
    </x:cfRule>
    <x:cfRule type="expression" dxfId="3" priority="4">
      <x:formula>C5="SE"</x:formula>
    </x:cfRule>
    <x:cfRule type="expression" dxfId="4" priority="5">
      <x:formula>C5="PP"</x:formula>
    </x:cfRule>
  </x:conditionalFormatting>
  <x:conditionalFormatting sqref="W5:W210">
    <x:cfRule type="colorScale" priority="6">
      <x:colorScale>
        <x:cfvo type="min"/>
        <x:cfvo type="percentile" val="50"/>
        <x:cfvo type="max"/>
        <x:color rgb="FFFCE4D6"/>
        <x:color rgb="FFFFF2CC"/>
        <x:color rgb="FFD9EAD3"/>
      </x:colorScale>
    </x:cfRule>
  </x:conditionalFormatting>
  <x:conditionalFormatting sqref="Y5:Y210">
    <x:cfRule type="dataBar" priority="7">
      <x:dataBar>
        <x:cfvo type="min"/>
        <x:cfvo type="max"/>
        <x:color rgb="FFA02B93"/>
      </x:dataBar>
      <x:extLst>
        <x:ext xmlns:x14="http://schemas.microsoft.com/office/spreadsheetml/2009/9/main" uri="{B025F937-C7B1-47D3-B67F-A62EFF666E3E}">
          <x14:id>{E05025AA-2B1E-C96E-229F-E8997F3EAA74}</x14:id>
        </x:ext>
      </x:extLst>
    </x:cfRule>
  </x:conditionalFormatting>
  <x:conditionalFormatting sqref="C5:C210">
    <x:cfRule type="expression" dxfId="17" priority="8">
      <x:formula>C5="IT"</x:formula>
    </x:cfRule>
    <x:cfRule type="expression" dxfId="18" priority="9">
      <x:formula>C5="PE"</x:formula>
    </x:cfRule>
    <x:cfRule type="expression" dxfId="19" priority="10">
      <x:formula>C5="TD"</x:formula>
    </x:cfRule>
    <x:cfRule type="expression" dxfId="20" priority="11">
      <x:formula>C5="SE"</x:formula>
    </x:cfRule>
    <x:cfRule type="expression" dxfId="21" priority="12">
      <x:formula>C5="PP"</x:formula>
    </x:cfRule>
  </x:conditionalFormatting>
  <x:conditionalFormatting sqref="D5:D210">
    <x:cfRule type="expression" dxfId="22" priority="13">
      <x:formula>D5="IT"</x:formula>
    </x:cfRule>
    <x:cfRule type="expression" dxfId="23" priority="14">
      <x:formula>D5="PE"</x:formula>
    </x:cfRule>
    <x:cfRule type="expression" dxfId="24" priority="15">
      <x:formula>D5="TD"</x:formula>
    </x:cfRule>
    <x:cfRule type="expression" dxfId="25" priority="16">
      <x:formula>D5="SE"</x:formula>
    </x:cfRule>
    <x:cfRule type="expression" dxfId="26" priority="17">
      <x:formula>D5="PP"</x:formula>
    </x:cfRule>
  </x:conditionalFormatting>
  <x:conditionalFormatting sqref="E5:E210">
    <x:cfRule type="expression" dxfId="27" priority="18">
      <x:formula>E5="IT"</x:formula>
    </x:cfRule>
    <x:cfRule type="expression" dxfId="28" priority="19">
      <x:formula>E5="PE"</x:formula>
    </x:cfRule>
    <x:cfRule type="expression" dxfId="29" priority="20">
      <x:formula>E5="TD"</x:formula>
    </x:cfRule>
    <x:cfRule type="expression" dxfId="30" priority="21">
      <x:formula>E5="SE"</x:formula>
    </x:cfRule>
    <x:cfRule type="expression" dxfId="31" priority="22">
      <x:formula>E5="PP"</x:formula>
    </x:cfRule>
  </x:conditionalFormatting>
  <x:conditionalFormatting sqref="F5:F210">
    <x:cfRule type="expression" dxfId="32" priority="23">
      <x:formula>F5="IT"</x:formula>
    </x:cfRule>
    <x:cfRule type="expression" dxfId="33" priority="24">
      <x:formula>F5="PE"</x:formula>
    </x:cfRule>
    <x:cfRule type="expression" dxfId="34" priority="25">
      <x:formula>F5="TD"</x:formula>
    </x:cfRule>
    <x:cfRule type="expression" dxfId="35" priority="26">
      <x:formula>F5="SE"</x:formula>
    </x:cfRule>
    <x:cfRule type="expression" dxfId="36" priority="27">
      <x:formula>F5="PP"</x:formula>
    </x:cfRule>
  </x:conditionalFormatting>
  <x:conditionalFormatting sqref="G5:G210">
    <x:cfRule type="expression" dxfId="37" priority="28">
      <x:formula>G5="IT"</x:formula>
    </x:cfRule>
    <x:cfRule type="expression" dxfId="38" priority="29">
      <x:formula>G5="PE"</x:formula>
    </x:cfRule>
    <x:cfRule type="expression" dxfId="39" priority="30">
      <x:formula>G5="TD"</x:formula>
    </x:cfRule>
    <x:cfRule type="expression" dxfId="40" priority="31">
      <x:formula>G5="SE"</x:formula>
    </x:cfRule>
    <x:cfRule type="expression" dxfId="41" priority="32">
      <x:formula>G5="PP"</x:formula>
    </x:cfRule>
  </x:conditionalFormatting>
  <x:conditionalFormatting sqref="H5:H210">
    <x:cfRule type="expression" dxfId="42" priority="33">
      <x:formula>H5="IT"</x:formula>
    </x:cfRule>
    <x:cfRule type="expression" dxfId="43" priority="34">
      <x:formula>H5="PE"</x:formula>
    </x:cfRule>
    <x:cfRule type="expression" dxfId="44" priority="35">
      <x:formula>H5="TD"</x:formula>
    </x:cfRule>
    <x:cfRule type="expression" dxfId="45" priority="36">
      <x:formula>H5="SE"</x:formula>
    </x:cfRule>
    <x:cfRule type="expression" dxfId="46" priority="37">
      <x:formula>H5="PP"</x:formula>
    </x:cfRule>
  </x:conditionalFormatting>
  <x:conditionalFormatting sqref="I5:I210">
    <x:cfRule type="expression" dxfId="47" priority="38">
      <x:formula>I5="IT"</x:formula>
    </x:cfRule>
    <x:cfRule type="expression" dxfId="48" priority="39">
      <x:formula>I5="PE"</x:formula>
    </x:cfRule>
    <x:cfRule type="expression" dxfId="49" priority="40">
      <x:formula>I5="TD"</x:formula>
    </x:cfRule>
    <x:cfRule type="expression" dxfId="50" priority="41">
      <x:formula>I5="SE"</x:formula>
    </x:cfRule>
    <x:cfRule type="expression" dxfId="51" priority="42">
      <x:formula>I5="PP"</x:formula>
    </x:cfRule>
  </x:conditionalFormatting>
  <x:conditionalFormatting sqref="J5:J210">
    <x:cfRule type="expression" dxfId="52" priority="43">
      <x:formula>J5="IT"</x:formula>
    </x:cfRule>
    <x:cfRule type="expression" dxfId="53" priority="44">
      <x:formula>J5="PE"</x:formula>
    </x:cfRule>
    <x:cfRule type="expression" dxfId="54" priority="45">
      <x:formula>J5="TD"</x:formula>
    </x:cfRule>
    <x:cfRule type="expression" dxfId="55" priority="46">
      <x:formula>J5="SE"</x:formula>
    </x:cfRule>
    <x:cfRule type="expression" dxfId="56" priority="47">
      <x:formula>J5="PP"</x:formula>
    </x:cfRule>
  </x:conditionalFormatting>
  <x:conditionalFormatting sqref="K5:K210">
    <x:cfRule type="expression" dxfId="57" priority="48">
      <x:formula>K5="IT"</x:formula>
    </x:cfRule>
    <x:cfRule type="expression" dxfId="58" priority="49">
      <x:formula>K5="PE"</x:formula>
    </x:cfRule>
    <x:cfRule type="expression" dxfId="59" priority="50">
      <x:formula>K5="TD"</x:formula>
    </x:cfRule>
    <x:cfRule type="expression" dxfId="60" priority="51">
      <x:formula>K5="SE"</x:formula>
    </x:cfRule>
    <x:cfRule type="expression" dxfId="61" priority="52">
      <x:formula>K5="PP"</x:formula>
    </x:cfRule>
  </x:conditionalFormatting>
  <x:conditionalFormatting sqref="L5:L210">
    <x:cfRule type="expression" dxfId="62" priority="53">
      <x:formula>L5="IT"</x:formula>
    </x:cfRule>
    <x:cfRule type="expression" dxfId="63" priority="54">
      <x:formula>L5="PE"</x:formula>
    </x:cfRule>
    <x:cfRule type="expression" dxfId="64" priority="55">
      <x:formula>L5="TD"</x:formula>
    </x:cfRule>
    <x:cfRule type="expression" dxfId="65" priority="56">
      <x:formula>L5="SE"</x:formula>
    </x:cfRule>
    <x:cfRule type="expression" dxfId="66" priority="57">
      <x:formula>L5="PP"</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7" id="{E05025AA-2B1E-C96E-229F-E8997F3EAA74}">
            <x14:dataBar gradient="1">
              <x14:cfvo type="min"/>
              <x14:cfvo type="max"/>
              <x14:fillColor rgb="FFA02B93"/>
            </x14:dataBar>
          </x14:cfRule>
          <xm:sqref>Y5:Y210</xm:sqref>
        </x14:conditionalFormatting>
      </x14:conditionalFormattings>
    </x:ext>
  </x:extLst>
</x:worksheet>
</file>

<file path=xl/worksheets/sheet3.xml><?xml version="1.0" encoding="utf-8"?>
<x:worksheet xmlns:x="http://schemas.openxmlformats.org/spreadsheetml/2006/main">
  <x:sheetFormatPr defaultRowHeight="15"/>
  <x:cols>
    <x:col min="1" max="1" width="9" hidden="0" customWidth="1"/>
    <x:col min="2" max="2" width="40" hidden="0" customWidth="1"/>
    <x:col min="3" max="3" width="12" hidden="0" customWidth="1"/>
    <x:col min="4" max="4" width="30" hidden="0" customWidth="1"/>
    <x:col min="5" max="5" width="28" hidden="0" customWidth="1"/>
    <x:col min="6" max="6" width="65" hidden="0" customWidth="1"/>
    <x:col min="7" max="7" width="48" hidden="0" customWidth="1"/>
  </x:cols>
  <x:sheetData>
    <x:row r="1" ht="22" customHeight="1">
      <x:c r="A1" s="258" t="str">
        <x:v>Annual Detail — All 290 Placements (2016–2025)</x:v>
      </x:c>
      <x:c r="B1" s="258"/>
      <x:c r="C1" s="258"/>
      <x:c r="D1" s="258"/>
      <x:c r="E1" s="258"/>
      <x:c r="F1" s="309"/>
      <x:c r="G1" s="258"/>
    </x:row>
    <x:row r="2" ht="32" customHeight="1">
      <x:c r="A2" s="261" t="str">
        <x:v>One row per Gartner label per year. Exact labels are intentionally preserved, including later renames or successor wording.</x:v>
      </x:c>
      <x:c r="B2" s="261"/>
      <x:c r="C2" s="261"/>
      <x:c r="D2" s="261"/>
      <x:c r="E2" s="261"/>
      <x:c r="F2" s="310"/>
      <x:c r="G2" s="261"/>
    </x:row>
    <x:row r="3">
      <x:c r="A3" s="195"/>
      <x:c r="B3" s="195"/>
      <x:c r="C3" s="195"/>
      <x:c r="D3" s="195"/>
      <x:c r="E3" s="195"/>
      <x:c r="F3" s="195"/>
      <x:c r="G3" s="195"/>
    </x:row>
    <x:row r="4" ht="24" customHeight="1">
      <x:c r="A4" s="320" t="str">
        <x:v>Year</x:v>
      </x:c>
      <x:c r="B4" s="320" t="str">
        <x:v>Entity / technology</x:v>
      </x:c>
      <x:c r="C4" s="320" t="str">
        <x:v>Phase code</x:v>
      </x:c>
      <x:c r="D4" s="320" t="str">
        <x:v>Phase</x:v>
      </x:c>
      <x:c r="E4" s="320" t="str">
        <x:v>Family</x:v>
      </x:c>
      <x:c r="F4" s="320" t="str">
        <x:v>Source URL</x:v>
      </x:c>
      <x:c r="G4" s="320" t="str">
        <x:v>Source / transcription note</x:v>
      </x:c>
    </x:row>
    <x:row r="5">
      <x:c r="A5" s="300" t="n">
        <x:v>2016</x:v>
      </x:c>
      <x:c r="B5" s="299" t="str">
        <x:v>Smart Dust</x:v>
      </x:c>
      <x:c r="C5" s="300" t="str">
        <x:v>IT</x:v>
      </x:c>
      <x:c r="D5" s="299" t="str">
        <x:v>Innovation Trigger</x:v>
      </x:c>
      <x:c r="E5" s="299" t="str">
        <x:v>Materials / Bio / Physical</x:v>
      </x:c>
      <x:c r="F5" s="299" t="str">
        <x:v>https://www.forbes.com/sites/gartnergroup/2016/08/29/track-three-trends-in-the-2016-gartner-hype-cycle-for-emerging-technologies/</x:v>
      </x:c>
      <x:c r="G5" s="299" t="str">
        <x:v>Chart/list reconstructed from Gartner article/chart and public archival reproductions.</x:v>
      </x:c>
    </x:row>
    <x:row r="6">
      <x:c r="A6" s="300" t="n">
        <x:v>2016</x:v>
      </x:c>
      <x:c r="B6" s="299" t="str">
        <x:v>4D Printing</x:v>
      </x:c>
      <x:c r="C6" s="300" t="str">
        <x:v>IT</x:v>
      </x:c>
      <x:c r="D6" s="299" t="str">
        <x:v>Innovation Trigger</x:v>
      </x:c>
      <x:c r="E6" s="299" t="str">
        <x:v>Materials / Bio / Physical</x:v>
      </x:c>
      <x:c r="F6" s="299" t="str">
        <x:v>https://www.forbes.com/sites/gartnergroup/2016/08/29/track-three-trends-in-the-2016-gartner-hype-cycle-for-emerging-technologies/</x:v>
      </x:c>
      <x:c r="G6" s="299" t="str">
        <x:v>Chart/list reconstructed from Gartner article/chart and public archival reproductions.</x:v>
      </x:c>
    </x:row>
    <x:row r="7">
      <x:c r="A7" s="300" t="n">
        <x:v>2016</x:v>
      </x:c>
      <x:c r="B7" s="299" t="str">
        <x:v>General-Purpose Machine Intelligence</x:v>
      </x:c>
      <x:c r="C7" s="300" t="str">
        <x:v>IT</x:v>
      </x:c>
      <x:c r="D7" s="299" t="str">
        <x:v>Innovation Trigger</x:v>
      </x:c>
      <x:c r="E7" s="299" t="str">
        <x:v>AI / Data / Analytics</x:v>
      </x:c>
      <x:c r="F7" s="299" t="str">
        <x:v>https://www.forbes.com/sites/gartnergroup/2016/08/29/track-three-trends-in-the-2016-gartner-hype-cycle-for-emerging-technologies/</x:v>
      </x:c>
      <x:c r="G7" s="299" t="str">
        <x:v>Chart/list reconstructed from Gartner article/chart and public archival reproductions.</x:v>
      </x:c>
    </x:row>
    <x:row r="8">
      <x:c r="A8" s="300" t="n">
        <x:v>2016</x:v>
      </x:c>
      <x:c r="B8" s="299" t="str">
        <x:v>802.11ax</x:v>
      </x:c>
      <x:c r="C8" s="300" t="str">
        <x:v>IT</x:v>
      </x:c>
      <x:c r="D8" s="299" t="str">
        <x:v>Innovation Trigger</x:v>
      </x:c>
      <x:c r="E8" s="299" t="str">
        <x:v>Connectivity / Edge / IoT</x:v>
      </x:c>
      <x:c r="F8" s="299" t="str">
        <x:v>https://www.forbes.com/sites/gartnergroup/2016/08/29/track-three-trends-in-the-2016-gartner-hype-cycle-for-emerging-technologies/</x:v>
      </x:c>
      <x:c r="G8" s="299" t="str">
        <x:v>Chart/list reconstructed from Gartner article/chart and public archival reproductions.</x:v>
      </x:c>
    </x:row>
    <x:row r="9">
      <x:c r="A9" s="300" t="n">
        <x:v>2016</x:v>
      </x:c>
      <x:c r="B9" s="299" t="str">
        <x:v>Context Brokering</x:v>
      </x:c>
      <x:c r="C9" s="300" t="str">
        <x:v>IT</x:v>
      </x:c>
      <x:c r="D9" s="299" t="str">
        <x:v>Innovation Trigger</x:v>
      </x:c>
      <x:c r="E9" s="299" t="str">
        <x:v>Business / Emerging Technology</x:v>
      </x:c>
      <x:c r="F9" s="299" t="str">
        <x:v>https://www.forbes.com/sites/gartnergroup/2016/08/29/track-three-trends-in-the-2016-gartner-hype-cycle-for-emerging-technologies/</x:v>
      </x:c>
      <x:c r="G9" s="299" t="str">
        <x:v>Chart/list reconstructed from Gartner article/chart and public archival reproductions.</x:v>
      </x:c>
    </x:row>
    <x:row r="10">
      <x:c r="A10" s="300" t="n">
        <x:v>2016</x:v>
      </x:c>
      <x:c r="B10" s="299" t="str">
        <x:v>Neuromorphic Hardware</x:v>
      </x:c>
      <x:c r="C10" s="300" t="str">
        <x:v>IT</x:v>
      </x:c>
      <x:c r="D10" s="299" t="str">
        <x:v>Innovation Trigger</x:v>
      </x:c>
      <x:c r="E10" s="299" t="str">
        <x:v>Advanced Computing</x:v>
      </x:c>
      <x:c r="F10" s="299" t="str">
        <x:v>https://www.forbes.com/sites/gartnergroup/2016/08/29/track-three-trends-in-the-2016-gartner-hype-cycle-for-emerging-technologies/</x:v>
      </x:c>
      <x:c r="G10" s="299" t="str">
        <x:v>Chart/list reconstructed from Gartner article/chart and public archival reproductions.</x:v>
      </x:c>
    </x:row>
    <x:row r="11">
      <x:c r="A11" s="300" t="n">
        <x:v>2016</x:v>
      </x:c>
      <x:c r="B11" s="299" t="str">
        <x:v>Data Broker PaaS (dbrPaaS)</x:v>
      </x:c>
      <x:c r="C11" s="300" t="str">
        <x:v>IT</x:v>
      </x:c>
      <x:c r="D11" s="299" t="str">
        <x:v>Innovation Trigger</x:v>
      </x:c>
      <x:c r="E11" s="299" t="str">
        <x:v>Cloud / Software Engineering</x:v>
      </x:c>
      <x:c r="F11" s="299" t="str">
        <x:v>https://www.forbes.com/sites/gartnergroup/2016/08/29/track-three-trends-in-the-2016-gartner-hype-cycle-for-emerging-technologies/</x:v>
      </x:c>
      <x:c r="G11" s="299" t="str">
        <x:v>Chart/list reconstructed from Gartner article/chart and public archival reproductions.</x:v>
      </x:c>
    </x:row>
    <x:row r="12">
      <x:c r="A12" s="300" t="n">
        <x:v>2016</x:v>
      </x:c>
      <x:c r="B12" s="299" t="str">
        <x:v>Quantum Computing</x:v>
      </x:c>
      <x:c r="C12" s="300" t="str">
        <x:v>IT</x:v>
      </x:c>
      <x:c r="D12" s="299" t="str">
        <x:v>Innovation Trigger</x:v>
      </x:c>
      <x:c r="E12" s="299" t="str">
        <x:v>Advanced Computing</x:v>
      </x:c>
      <x:c r="F12" s="299" t="str">
        <x:v>https://www.forbes.com/sites/gartnergroup/2016/08/29/track-three-trends-in-the-2016-gartner-hype-cycle-for-emerging-technologies/</x:v>
      </x:c>
      <x:c r="G12" s="299" t="str">
        <x:v>Chart/list reconstructed from Gartner article/chart and public archival reproductions.</x:v>
      </x:c>
    </x:row>
    <x:row r="13">
      <x:c r="A13" s="300" t="n">
        <x:v>2016</x:v>
      </x:c>
      <x:c r="B13" s="299" t="str">
        <x:v>Personal Analytics</x:v>
      </x:c>
      <x:c r="C13" s="300" t="str">
        <x:v>IT</x:v>
      </x:c>
      <x:c r="D13" s="299" t="str">
        <x:v>Innovation Trigger</x:v>
      </x:c>
      <x:c r="E13" s="299" t="str">
        <x:v>Business / Emerging Technology</x:v>
      </x:c>
      <x:c r="F13" s="299" t="str">
        <x:v>https://www.forbes.com/sites/gartnergroup/2016/08/29/track-three-trends-in-the-2016-gartner-hype-cycle-for-emerging-technologies/</x:v>
      </x:c>
      <x:c r="G13" s="299" t="str">
        <x:v>Chart/list reconstructed from Gartner article/chart and public archival reproductions.</x:v>
      </x:c>
    </x:row>
    <x:row r="14">
      <x:c r="A14" s="300" t="n">
        <x:v>2016</x:v>
      </x:c>
      <x:c r="B14" s="299" t="str">
        <x:v>Smart Workspace</x:v>
      </x:c>
      <x:c r="C14" s="300" t="str">
        <x:v>IT</x:v>
      </x:c>
      <x:c r="D14" s="299" t="str">
        <x:v>Innovation Trigger</x:v>
      </x:c>
      <x:c r="E14" s="299" t="str">
        <x:v>Experience / Spatial Computing</x:v>
      </x:c>
      <x:c r="F14" s="299" t="str">
        <x:v>https://www.forbes.com/sites/gartnergroup/2016/08/29/track-three-trends-in-the-2016-gartner-hype-cycle-for-emerging-technologies/</x:v>
      </x:c>
      <x:c r="G14" s="299" t="str">
        <x:v>Chart/list reconstructed from Gartner article/chart and public archival reproductions.</x:v>
      </x:c>
    </x:row>
    <x:row r="15">
      <x:c r="A15" s="300" t="n">
        <x:v>2016</x:v>
      </x:c>
      <x:c r="B15" s="299" t="str">
        <x:v>Volumetric Displays</x:v>
      </x:c>
      <x:c r="C15" s="300" t="str">
        <x:v>IT</x:v>
      </x:c>
      <x:c r="D15" s="299" t="str">
        <x:v>Innovation Trigger</x:v>
      </x:c>
      <x:c r="E15" s="299" t="str">
        <x:v>Experience / Spatial Computing</x:v>
      </x:c>
      <x:c r="F15" s="299" t="str">
        <x:v>https://www.forbes.com/sites/gartnergroup/2016/08/29/track-three-trends-in-the-2016-gartner-hype-cycle-for-emerging-technologies/</x:v>
      </x:c>
      <x:c r="G15" s="299" t="str">
        <x:v>Chart/list reconstructed from Gartner article/chart and public archival reproductions.</x:v>
      </x:c>
    </x:row>
    <x:row r="16">
      <x:c r="A16" s="300" t="n">
        <x:v>2016</x:v>
      </x:c>
      <x:c r="B16" s="299" t="str">
        <x:v>Conversational User Interfaces</x:v>
      </x:c>
      <x:c r="C16" s="300" t="str">
        <x:v>IT</x:v>
      </x:c>
      <x:c r="D16" s="299" t="str">
        <x:v>Innovation Trigger</x:v>
      </x:c>
      <x:c r="E16" s="299" t="str">
        <x:v>Business / Emerging Technology</x:v>
      </x:c>
      <x:c r="F16" s="299" t="str">
        <x:v>https://www.forbes.com/sites/gartnergroup/2016/08/29/track-three-trends-in-the-2016-gartner-hype-cycle-for-emerging-technologies/</x:v>
      </x:c>
      <x:c r="G16" s="299" t="str">
        <x:v>Chart/list reconstructed from Gartner article/chart and public archival reproductions.</x:v>
      </x:c>
    </x:row>
    <x:row r="17">
      <x:c r="A17" s="300" t="n">
        <x:v>2016</x:v>
      </x:c>
      <x:c r="B17" s="299" t="str">
        <x:v>Brain-Computer Interface</x:v>
      </x:c>
      <x:c r="C17" s="300" t="str">
        <x:v>IT</x:v>
      </x:c>
      <x:c r="D17" s="299" t="str">
        <x:v>Innovation Trigger</x:v>
      </x:c>
      <x:c r="E17" s="299" t="str">
        <x:v>Human Augmentation / Future of Work</x:v>
      </x:c>
      <x:c r="F17" s="299" t="str">
        <x:v>https://www.forbes.com/sites/gartnergroup/2016/08/29/track-three-trends-in-the-2016-gartner-hype-cycle-for-emerging-technologies/</x:v>
      </x:c>
      <x:c r="G17" s="299" t="str">
        <x:v>Chart/list reconstructed from Gartner article/chart and public archival reproductions.</x:v>
      </x:c>
    </x:row>
    <x:row r="18">
      <x:c r="A18" s="300" t="n">
        <x:v>2016</x:v>
      </x:c>
      <x:c r="B18" s="299" t="str">
        <x:v>Human Augmentation</x:v>
      </x:c>
      <x:c r="C18" s="300" t="str">
        <x:v>IT</x:v>
      </x:c>
      <x:c r="D18" s="299" t="str">
        <x:v>Innovation Trigger</x:v>
      </x:c>
      <x:c r="E18" s="299" t="str">
        <x:v>Human Augmentation / Future of Work</x:v>
      </x:c>
      <x:c r="F18" s="299" t="str">
        <x:v>https://www.forbes.com/sites/gartnergroup/2016/08/29/track-three-trends-in-the-2016-gartner-hype-cycle-for-emerging-technologies/</x:v>
      </x:c>
      <x:c r="G18" s="299" t="str">
        <x:v>Chart/list reconstructed from Gartner article/chart and public archival reproductions.</x:v>
      </x:c>
    </x:row>
    <x:row r="19">
      <x:c r="A19" s="300" t="n">
        <x:v>2016</x:v>
      </x:c>
      <x:c r="B19" s="299" t="str">
        <x:v>Virtual Personal Assistants</x:v>
      </x:c>
      <x:c r="C19" s="300" t="str">
        <x:v>IT</x:v>
      </x:c>
      <x:c r="D19" s="299" t="str">
        <x:v>Innovation Trigger</x:v>
      </x:c>
      <x:c r="E19" s="299" t="str">
        <x:v>Business / Emerging Technology</x:v>
      </x:c>
      <x:c r="F19" s="299" t="str">
        <x:v>https://www.forbes.com/sites/gartnergroup/2016/08/29/track-three-trends-in-the-2016-gartner-hype-cycle-for-emerging-technologies/</x:v>
      </x:c>
      <x:c r="G19" s="299" t="str">
        <x:v>Chart/list reconstructed from Gartner article/chart and public archival reproductions.</x:v>
      </x:c>
    </x:row>
    <x:row r="20">
      <x:c r="A20" s="300" t="n">
        <x:v>2016</x:v>
      </x:c>
      <x:c r="B20" s="299" t="str">
        <x:v>Smart Data Discovery</x:v>
      </x:c>
      <x:c r="C20" s="300" t="str">
        <x:v>IT</x:v>
      </x:c>
      <x:c r="D20" s="299" t="str">
        <x:v>Innovation Trigger</x:v>
      </x:c>
      <x:c r="E20" s="299" t="str">
        <x:v>Business / Emerging Technology</x:v>
      </x:c>
      <x:c r="F20" s="299" t="str">
        <x:v>https://www.forbes.com/sites/gartnergroup/2016/08/29/track-three-trends-in-the-2016-gartner-hype-cycle-for-emerging-technologies/</x:v>
      </x:c>
      <x:c r="G20" s="299" t="str">
        <x:v>Chart/list reconstructed from Gartner article/chart and public archival reproductions.</x:v>
      </x:c>
    </x:row>
    <x:row r="21">
      <x:c r="A21" s="300" t="n">
        <x:v>2016</x:v>
      </x:c>
      <x:c r="B21" s="299" t="str">
        <x:v>Affective Computing</x:v>
      </x:c>
      <x:c r="C21" s="300" t="str">
        <x:v>IT</x:v>
      </x:c>
      <x:c r="D21" s="299" t="str">
        <x:v>Innovation Trigger</x:v>
      </x:c>
      <x:c r="E21" s="299" t="str">
        <x:v>AI / Data / Analytics</x:v>
      </x:c>
      <x:c r="F21" s="299" t="str">
        <x:v>https://www.forbes.com/sites/gartnergroup/2016/08/29/track-three-trends-in-the-2016-gartner-hype-cycle-for-emerging-technologies/</x:v>
      </x:c>
      <x:c r="G21" s="299" t="str">
        <x:v>Chart/list reconstructed from Gartner article/chart and public archival reproductions.</x:v>
      </x:c>
    </x:row>
    <x:row r="22">
      <x:c r="A22" s="300" t="n">
        <x:v>2016</x:v>
      </x:c>
      <x:c r="B22" s="299" t="str">
        <x:v>Commercial UAVs (Drones)</x:v>
      </x:c>
      <x:c r="C22" s="300" t="str">
        <x:v>IT</x:v>
      </x:c>
      <x:c r="D22" s="299" t="str">
        <x:v>Innovation Trigger</x:v>
      </x:c>
      <x:c r="E22" s="299" t="str">
        <x:v>Autonomy / Robotics</x:v>
      </x:c>
      <x:c r="F22" s="299" t="str">
        <x:v>https://www.forbes.com/sites/gartnergroup/2016/08/29/track-three-trends-in-the-2016-gartner-hype-cycle-for-emerging-technologies/</x:v>
      </x:c>
      <x:c r="G22" s="299" t="str">
        <x:v>Chart/list reconstructed from Gartner article/chart and public archival reproductions.</x:v>
      </x:c>
    </x:row>
    <x:row r="23">
      <x:c r="A23" s="300" t="n">
        <x:v>2016</x:v>
      </x:c>
      <x:c r="B23" s="299" t="str">
        <x:v>IoT Platform</x:v>
      </x:c>
      <x:c r="C23" s="300" t="str">
        <x:v>IT</x:v>
      </x:c>
      <x:c r="D23" s="299" t="str">
        <x:v>Innovation Trigger</x:v>
      </x:c>
      <x:c r="E23" s="299" t="str">
        <x:v>Connectivity / Edge / IoT</x:v>
      </x:c>
      <x:c r="F23" s="299" t="str">
        <x:v>https://www.forbes.com/sites/gartnergroup/2016/08/29/track-three-trends-in-the-2016-gartner-hype-cycle-for-emerging-technologies/</x:v>
      </x:c>
      <x:c r="G23" s="299" t="str">
        <x:v>Chart/list reconstructed from Gartner article/chart and public archival reproductions.</x:v>
      </x:c>
    </x:row>
    <x:row r="24">
      <x:c r="A24" s="300" t="n">
        <x:v>2016</x:v>
      </x:c>
      <x:c r="B24" s="299" t="str">
        <x:v>Gesture Control Devices</x:v>
      </x:c>
      <x:c r="C24" s="300" t="str">
        <x:v>IT</x:v>
      </x:c>
      <x:c r="D24" s="299" t="str">
        <x:v>Innovation Trigger</x:v>
      </x:c>
      <x:c r="E24" s="299" t="str">
        <x:v>Business / Emerging Technology</x:v>
      </x:c>
      <x:c r="F24" s="299" t="str">
        <x:v>https://www.forbes.com/sites/gartnergroup/2016/08/29/track-three-trends-in-the-2016-gartner-hype-cycle-for-emerging-technologies/</x:v>
      </x:c>
      <x:c r="G24" s="299" t="str">
        <x:v>Chart/list reconstructed from Gartner article/chart and public archival reproductions.</x:v>
      </x:c>
    </x:row>
    <x:row r="25">
      <x:c r="A25" s="300" t="n">
        <x:v>2016</x:v>
      </x:c>
      <x:c r="B25" s="299" t="str">
        <x:v>Micro Data Centers</x:v>
      </x:c>
      <x:c r="C25" s="300" t="str">
        <x:v>IT</x:v>
      </x:c>
      <x:c r="D25" s="299" t="str">
        <x:v>Innovation Trigger</x:v>
      </x:c>
      <x:c r="E25" s="299" t="str">
        <x:v>Business / Emerging Technology</x:v>
      </x:c>
      <x:c r="F25" s="299" t="str">
        <x:v>https://www.forbes.com/sites/gartnergroup/2016/08/29/track-three-trends-in-the-2016-gartner-hype-cycle-for-emerging-technologies/</x:v>
      </x:c>
      <x:c r="G25" s="299" t="str">
        <x:v>Chart/list reconstructed from Gartner article/chart and public archival reproductions.</x:v>
      </x:c>
    </x:row>
    <x:row r="26">
      <x:c r="A26" s="300" t="n">
        <x:v>2016</x:v>
      </x:c>
      <x:c r="B26" s="299" t="str">
        <x:v>Smart Robots</x:v>
      </x:c>
      <x:c r="C26" s="300" t="str">
        <x:v>IT</x:v>
      </x:c>
      <x:c r="D26" s="299" t="str">
        <x:v>Innovation Trigger</x:v>
      </x:c>
      <x:c r="E26" s="299" t="str">
        <x:v>Autonomy / Robotics</x:v>
      </x:c>
      <x:c r="F26" s="299" t="str">
        <x:v>https://www.forbes.com/sites/gartnergroup/2016/08/29/track-three-trends-in-the-2016-gartner-hype-cycle-for-emerging-technologies/</x:v>
      </x:c>
      <x:c r="G26" s="299" t="str">
        <x:v>Chart/list reconstructed from Gartner article/chart and public archival reproductions.</x:v>
      </x:c>
    </x:row>
    <x:row r="27">
      <x:c r="A27" s="300" t="n">
        <x:v>2016</x:v>
      </x:c>
      <x:c r="B27" s="299" t="str">
        <x:v>Blockchain</x:v>
      </x:c>
      <x:c r="C27" s="300" t="str">
        <x:v>IT</x:v>
      </x:c>
      <x:c r="D27" s="299" t="str">
        <x:v>Innovation Trigger</x:v>
      </x:c>
      <x:c r="E27" s="299" t="str">
        <x:v>Blockchain / Digital Assets</x:v>
      </x:c>
      <x:c r="F27" s="299" t="str">
        <x:v>https://www.forbes.com/sites/gartnergroup/2016/08/29/track-three-trends-in-the-2016-gartner-hype-cycle-for-emerging-technologies/</x:v>
      </x:c>
      <x:c r="G27" s="299" t="str">
        <x:v>Chart/list reconstructed from Gartner article/chart and public archival reproductions.</x:v>
      </x:c>
    </x:row>
    <x:row r="28">
      <x:c r="A28" s="300" t="n">
        <x:v>2016</x:v>
      </x:c>
      <x:c r="B28" s="299" t="str">
        <x:v>Connected Home</x:v>
      </x:c>
      <x:c r="C28" s="300" t="str">
        <x:v>IT</x:v>
      </x:c>
      <x:c r="D28" s="299" t="str">
        <x:v>Innovation Trigger</x:v>
      </x:c>
      <x:c r="E28" s="299" t="str">
        <x:v>Business / Emerging Technology</x:v>
      </x:c>
      <x:c r="F28" s="299" t="str">
        <x:v>https://www.forbes.com/sites/gartnergroup/2016/08/29/track-three-trends-in-the-2016-gartner-hype-cycle-for-emerging-technologies/</x:v>
      </x:c>
      <x:c r="G28" s="299" t="str">
        <x:v>Chart/list reconstructed from Gartner article/chart and public archival reproductions.</x:v>
      </x:c>
    </x:row>
    <x:row r="29">
      <x:c r="A29" s="300" t="n">
        <x:v>2016</x:v>
      </x:c>
      <x:c r="B29" s="299" t="str">
        <x:v>Cognitive Expert Advisors</x:v>
      </x:c>
      <x:c r="C29" s="300" t="str">
        <x:v>IT</x:v>
      </x:c>
      <x:c r="D29" s="299" t="str">
        <x:v>Innovation Trigger</x:v>
      </x:c>
      <x:c r="E29" s="299" t="str">
        <x:v>AI / Data / Analytics</x:v>
      </x:c>
      <x:c r="F29" s="299" t="str">
        <x:v>https://www.forbes.com/sites/gartnergroup/2016/08/29/track-three-trends-in-the-2016-gartner-hype-cycle-for-emerging-technologies/</x:v>
      </x:c>
      <x:c r="G29" s="299" t="str">
        <x:v>Chart/list reconstructed from Gartner article/chart and public archival reproductions.</x:v>
      </x:c>
    </x:row>
    <x:row r="30">
      <x:c r="A30" s="300" t="n">
        <x:v>2016</x:v>
      </x:c>
      <x:c r="B30" s="299" t="str">
        <x:v>Machine Learning</x:v>
      </x:c>
      <x:c r="C30" s="300" t="str">
        <x:v>PE</x:v>
      </x:c>
      <x:c r="D30" s="299" t="str">
        <x:v>Peak of Inflated Expectations</x:v>
      </x:c>
      <x:c r="E30" s="299" t="str">
        <x:v>AI / Data / Analytics</x:v>
      </x:c>
      <x:c r="F30" s="299" t="str">
        <x:v>https://www.forbes.com/sites/gartnergroup/2016/08/29/track-three-trends-in-the-2016-gartner-hype-cycle-for-emerging-technologies/</x:v>
      </x:c>
      <x:c r="G30" s="299" t="str">
        <x:v>Chart/list reconstructed from Gartner article/chart and public archival reproductions.</x:v>
      </x:c>
    </x:row>
    <x:row r="31">
      <x:c r="A31" s="300" t="n">
        <x:v>2016</x:v>
      </x:c>
      <x:c r="B31" s="299" t="str">
        <x:v>Software-Defined Security</x:v>
      </x:c>
      <x:c r="C31" s="300" t="str">
        <x:v>PE</x:v>
      </x:c>
      <x:c r="D31" s="299" t="str">
        <x:v>Peak of Inflated Expectations</x:v>
      </x:c>
      <x:c r="E31" s="299" t="str">
        <x:v>Security / Privacy</x:v>
      </x:c>
      <x:c r="F31" s="299" t="str">
        <x:v>https://www.forbes.com/sites/gartnergroup/2016/08/29/track-three-trends-in-the-2016-gartner-hype-cycle-for-emerging-technologies/</x:v>
      </x:c>
      <x:c r="G31" s="299" t="str">
        <x:v>Chart/list reconstructed from Gartner article/chart and public archival reproductions.</x:v>
      </x:c>
    </x:row>
    <x:row r="32">
      <x:c r="A32" s="300" t="n">
        <x:v>2016</x:v>
      </x:c>
      <x:c r="B32" s="299" t="str">
        <x:v>Autonomous Vehicles</x:v>
      </x:c>
      <x:c r="C32" s="300" t="str">
        <x:v>PE</x:v>
      </x:c>
      <x:c r="D32" s="299" t="str">
        <x:v>Peak of Inflated Expectations</x:v>
      </x:c>
      <x:c r="E32" s="299" t="str">
        <x:v>Autonomy / Robotics</x:v>
      </x:c>
      <x:c r="F32" s="299" t="str">
        <x:v>https://www.forbes.com/sites/gartnergroup/2016/08/29/track-three-trends-in-the-2016-gartner-hype-cycle-for-emerging-technologies/</x:v>
      </x:c>
      <x:c r="G32" s="299" t="str">
        <x:v>Chart/list reconstructed from Gartner article/chart and public archival reproductions.</x:v>
      </x:c>
    </x:row>
    <x:row r="33">
      <x:c r="A33" s="300" t="n">
        <x:v>2016</x:v>
      </x:c>
      <x:c r="B33" s="299" t="str">
        <x:v>Nanotube Electronics</x:v>
      </x:c>
      <x:c r="C33" s="300" t="str">
        <x:v>PE</x:v>
      </x:c>
      <x:c r="D33" s="299" t="str">
        <x:v>Peak of Inflated Expectations</x:v>
      </x:c>
      <x:c r="E33" s="299" t="str">
        <x:v>Materials / Bio / Physical</x:v>
      </x:c>
      <x:c r="F33" s="299" t="str">
        <x:v>https://www.forbes.com/sites/gartnergroup/2016/08/29/track-three-trends-in-the-2016-gartner-hype-cycle-for-emerging-technologies/</x:v>
      </x:c>
      <x:c r="G33" s="299" t="str">
        <x:v>Chart/list reconstructed from Gartner article/chart and public archival reproductions.</x:v>
      </x:c>
    </x:row>
    <x:row r="34">
      <x:c r="A34" s="300" t="n">
        <x:v>2016</x:v>
      </x:c>
      <x:c r="B34" s="299" t="str">
        <x:v>Software-Defined Anything (SDx)</x:v>
      </x:c>
      <x:c r="C34" s="300" t="str">
        <x:v>PE</x:v>
      </x:c>
      <x:c r="D34" s="299" t="str">
        <x:v>Peak of Inflated Expectations</x:v>
      </x:c>
      <x:c r="E34" s="299" t="str">
        <x:v>Business / Emerging Technology</x:v>
      </x:c>
      <x:c r="F34" s="299" t="str">
        <x:v>https://www.forbes.com/sites/gartnergroup/2016/08/29/track-three-trends-in-the-2016-gartner-hype-cycle-for-emerging-technologies/</x:v>
      </x:c>
      <x:c r="G34" s="299" t="str">
        <x:v>Chart/list reconstructed from Gartner article/chart and public archival reproductions.</x:v>
      </x:c>
    </x:row>
    <x:row r="35">
      <x:c r="A35" s="300" t="n">
        <x:v>2016</x:v>
      </x:c>
      <x:c r="B35" s="299" t="str">
        <x:v>Natural-Language Question Answering</x:v>
      </x:c>
      <x:c r="C35" s="300" t="str">
        <x:v>TD</x:v>
      </x:c>
      <x:c r="D35" s="299" t="str">
        <x:v>Trough of Disillusionment</x:v>
      </x:c>
      <x:c r="E35" s="299" t="str">
        <x:v>Business / Emerging Technology</x:v>
      </x:c>
      <x:c r="F35" s="299" t="str">
        <x:v>https://www.forbes.com/sites/gartnergroup/2016/08/29/track-three-trends-in-the-2016-gartner-hype-cycle-for-emerging-technologies/</x:v>
      </x:c>
      <x:c r="G35" s="299" t="str">
        <x:v>Chart/list reconstructed from Gartner article/chart and public archival reproductions.</x:v>
      </x:c>
    </x:row>
    <x:row r="36">
      <x:c r="A36" s="300" t="n">
        <x:v>2016</x:v>
      </x:c>
      <x:c r="B36" s="299" t="str">
        <x:v>Enterprise Taxonomy and Ontology Management</x:v>
      </x:c>
      <x:c r="C36" s="300" t="str">
        <x:v>TD</x:v>
      </x:c>
      <x:c r="D36" s="299" t="str">
        <x:v>Trough of Disillusionment</x:v>
      </x:c>
      <x:c r="E36" s="299" t="str">
        <x:v>Business / Emerging Technology</x:v>
      </x:c>
      <x:c r="F36" s="299" t="str">
        <x:v>https://www.forbes.com/sites/gartnergroup/2016/08/29/track-three-trends-in-the-2016-gartner-hype-cycle-for-emerging-technologies/</x:v>
      </x:c>
      <x:c r="G36" s="299" t="str">
        <x:v>Chart/list reconstructed from Gartner article/chart and public archival reproductions.</x:v>
      </x:c>
    </x:row>
    <x:row r="37">
      <x:c r="A37" s="300" t="n">
        <x:v>2016</x:v>
      </x:c>
      <x:c r="B37" s="299" t="str">
        <x:v>Augmented Reality</x:v>
      </x:c>
      <x:c r="C37" s="300" t="str">
        <x:v>TD</x:v>
      </x:c>
      <x:c r="D37" s="299" t="str">
        <x:v>Trough of Disillusionment</x:v>
      </x:c>
      <x:c r="E37" s="299" t="str">
        <x:v>Experience / Spatial Computing</x:v>
      </x:c>
      <x:c r="F37" s="299" t="str">
        <x:v>https://www.forbes.com/sites/gartnergroup/2016/08/29/track-three-trends-in-the-2016-gartner-hype-cycle-for-emerging-technologies/</x:v>
      </x:c>
      <x:c r="G37" s="299" t="str">
        <x:v>Chart/list reconstructed from Gartner article/chart and public archival reproductions.</x:v>
      </x:c>
    </x:row>
    <x:row r="38">
      <x:c r="A38" s="300" t="n">
        <x:v>2016</x:v>
      </x:c>
      <x:c r="B38" s="299" t="str">
        <x:v>Virtual Reality</x:v>
      </x:c>
      <x:c r="C38" s="300" t="str">
        <x:v>SE</x:v>
      </x:c>
      <x:c r="D38" s="299" t="str">
        <x:v>Slope of Enlightenment</x:v>
      </x:c>
      <x:c r="E38" s="299" t="str">
        <x:v>Experience / Spatial Computing</x:v>
      </x:c>
      <x:c r="F38" s="299" t="str">
        <x:v>https://www.forbes.com/sites/gartnergroup/2016/08/29/track-three-trends-in-the-2016-gartner-hype-cycle-for-emerging-technologies/</x:v>
      </x:c>
      <x:c r="G38" s="299" t="str">
        <x:v>Chart/list reconstructed from Gartner article/chart and public archival reproductions.</x:v>
      </x:c>
    </x:row>
    <x:row r="39">
      <x:c r="A39" s="300" t="n">
        <x:v>2017</x:v>
      </x:c>
      <x:c r="B39" s="299" t="str">
        <x:v>5G</x:v>
      </x:c>
      <x:c r="C39" s="300" t="str">
        <x:v>IT</x:v>
      </x:c>
      <x:c r="D39" s="299" t="str">
        <x:v>Innovation Trigger</x:v>
      </x:c>
      <x:c r="E39" s="299" t="str">
        <x:v>Connectivity / Edge / IoT</x:v>
      </x:c>
      <x:c r="F39" s="299" t="str">
        <x:v>https://www.gartner.com/smarterwithgartner/top-trends-in-the-gartner-hype-cycle-for-emerging-technologies-2017/</x:v>
      </x:c>
      <x:c r="G39" s="299" t="str">
        <x:v>Chart/list reconstructed from Gartner article/chart and public archival reproductions.</x:v>
      </x:c>
    </x:row>
    <x:row r="40">
      <x:c r="A40" s="300" t="n">
        <x:v>2017</x:v>
      </x:c>
      <x:c r="B40" s="299" t="str">
        <x:v>Conversational User Interfaces</x:v>
      </x:c>
      <x:c r="C40" s="300" t="str">
        <x:v>IT</x:v>
      </x:c>
      <x:c r="D40" s="299" t="str">
        <x:v>Innovation Trigger</x:v>
      </x:c>
      <x:c r="E40" s="299" t="str">
        <x:v>Business / Emerging Technology</x:v>
      </x:c>
      <x:c r="F40" s="299" t="str">
        <x:v>https://www.gartner.com/smarterwithgartner/top-trends-in-the-gartner-hype-cycle-for-emerging-technologies-2017/</x:v>
      </x:c>
      <x:c r="G40" s="299" t="str">
        <x:v>Chart/list reconstructed from Gartner article/chart and public archival reproductions.</x:v>
      </x:c>
    </x:row>
    <x:row r="41">
      <x:c r="A41" s="300" t="n">
        <x:v>2017</x:v>
      </x:c>
      <x:c r="B41" s="299" t="str">
        <x:v>Deep Reinforcement Learning</x:v>
      </x:c>
      <x:c r="C41" s="300" t="str">
        <x:v>IT</x:v>
      </x:c>
      <x:c r="D41" s="299" t="str">
        <x:v>Innovation Trigger</x:v>
      </x:c>
      <x:c r="E41" s="299" t="str">
        <x:v>AI / Data / Analytics</x:v>
      </x:c>
      <x:c r="F41" s="299" t="str">
        <x:v>https://www.gartner.com/smarterwithgartner/top-trends-in-the-gartner-hype-cycle-for-emerging-technologies-2017/</x:v>
      </x:c>
      <x:c r="G41" s="299" t="str">
        <x:v>Chart/list reconstructed from Gartner article/chart and public archival reproductions.</x:v>
      </x:c>
    </x:row>
    <x:row r="42">
      <x:c r="A42" s="300" t="n">
        <x:v>2017</x:v>
      </x:c>
      <x:c r="B42" s="299" t="str">
        <x:v>Digital Twin</x:v>
      </x:c>
      <x:c r="C42" s="300" t="str">
        <x:v>IT</x:v>
      </x:c>
      <x:c r="D42" s="299" t="str">
        <x:v>Innovation Trigger</x:v>
      </x:c>
      <x:c r="E42" s="299" t="str">
        <x:v>Business / Emerging Technology</x:v>
      </x:c>
      <x:c r="F42" s="299" t="str">
        <x:v>https://www.gartner.com/smarterwithgartner/top-trends-in-the-gartner-hype-cycle-for-emerging-technologies-2017/</x:v>
      </x:c>
      <x:c r="G42" s="299" t="str">
        <x:v>Chart/list reconstructed from Gartner article/chart and public archival reproductions.</x:v>
      </x:c>
    </x:row>
    <x:row r="43">
      <x:c r="A43" s="300" t="n">
        <x:v>2017</x:v>
      </x:c>
      <x:c r="B43" s="299" t="str">
        <x:v>Neuromorphic Hardware</x:v>
      </x:c>
      <x:c r="C43" s="300" t="str">
        <x:v>IT</x:v>
      </x:c>
      <x:c r="D43" s="299" t="str">
        <x:v>Innovation Trigger</x:v>
      </x:c>
      <x:c r="E43" s="299" t="str">
        <x:v>Advanced Computing</x:v>
      </x:c>
      <x:c r="F43" s="299" t="str">
        <x:v>https://www.gartner.com/smarterwithgartner/top-trends-in-the-gartner-hype-cycle-for-emerging-technologies-2017/</x:v>
      </x:c>
      <x:c r="G43" s="299" t="str">
        <x:v>Chart/list reconstructed from Gartner article/chart and public archival reproductions.</x:v>
      </x:c>
    </x:row>
    <x:row r="44">
      <x:c r="A44" s="300" t="n">
        <x:v>2017</x:v>
      </x:c>
      <x:c r="B44" s="299" t="str">
        <x:v>Serverless PaaS</x:v>
      </x:c>
      <x:c r="C44" s="300" t="str">
        <x:v>IT</x:v>
      </x:c>
      <x:c r="D44" s="299" t="str">
        <x:v>Innovation Trigger</x:v>
      </x:c>
      <x:c r="E44" s="299" t="str">
        <x:v>Cloud / Software Engineering</x:v>
      </x:c>
      <x:c r="F44" s="299" t="str">
        <x:v>https://www.gartner.com/smarterwithgartner/top-trends-in-the-gartner-hype-cycle-for-emerging-technologies-2017/</x:v>
      </x:c>
      <x:c r="G44" s="299" t="str">
        <x:v>Chart/list reconstructed from Gartner article/chart and public archival reproductions.</x:v>
      </x:c>
    </x:row>
    <x:row r="45">
      <x:c r="A45" s="300" t="n">
        <x:v>2017</x:v>
      </x:c>
      <x:c r="B45" s="299" t="str">
        <x:v>Smart Workspace</x:v>
      </x:c>
      <x:c r="C45" s="300" t="str">
        <x:v>IT</x:v>
      </x:c>
      <x:c r="D45" s="299" t="str">
        <x:v>Innovation Trigger</x:v>
      </x:c>
      <x:c r="E45" s="299" t="str">
        <x:v>Experience / Spatial Computing</x:v>
      </x:c>
      <x:c r="F45" s="299" t="str">
        <x:v>https://www.gartner.com/smarterwithgartner/top-trends-in-the-gartner-hype-cycle-for-emerging-technologies-2017/</x:v>
      </x:c>
      <x:c r="G45" s="299" t="str">
        <x:v>Chart/list reconstructed from Gartner article/chart and public archival reproductions.</x:v>
      </x:c>
    </x:row>
    <x:row r="46">
      <x:c r="A46" s="300" t="n">
        <x:v>2017</x:v>
      </x:c>
      <x:c r="B46" s="299" t="str">
        <x:v>4D Printing</x:v>
      </x:c>
      <x:c r="C46" s="300" t="str">
        <x:v>IT</x:v>
      </x:c>
      <x:c r="D46" s="299" t="str">
        <x:v>Innovation Trigger</x:v>
      </x:c>
      <x:c r="E46" s="299" t="str">
        <x:v>Materials / Bio / Physical</x:v>
      </x:c>
      <x:c r="F46" s="299" t="str">
        <x:v>https://www.gartner.com/smarterwithgartner/top-trends-in-the-gartner-hype-cycle-for-emerging-technologies-2017/</x:v>
      </x:c>
      <x:c r="G46" s="299" t="str">
        <x:v>Chart/list reconstructed from Gartner article/chart and public archival reproductions.</x:v>
      </x:c>
    </x:row>
    <x:row r="47">
      <x:c r="A47" s="300" t="n">
        <x:v>2017</x:v>
      </x:c>
      <x:c r="B47" s="299" t="str">
        <x:v>Artificial General Intelligence</x:v>
      </x:c>
      <x:c r="C47" s="300" t="str">
        <x:v>IT</x:v>
      </x:c>
      <x:c r="D47" s="299" t="str">
        <x:v>Innovation Trigger</x:v>
      </x:c>
      <x:c r="E47" s="299" t="str">
        <x:v>AI / Data / Analytics</x:v>
      </x:c>
      <x:c r="F47" s="299" t="str">
        <x:v>https://www.gartner.com/smarterwithgartner/top-trends-in-the-gartner-hype-cycle-for-emerging-technologies-2017/</x:v>
      </x:c>
      <x:c r="G47" s="299" t="str">
        <x:v>Chart/list reconstructed from Gartner article/chart and public archival reproductions.</x:v>
      </x:c>
    </x:row>
    <x:row r="48">
      <x:c r="A48" s="300" t="n">
        <x:v>2017</x:v>
      </x:c>
      <x:c r="B48" s="299" t="str">
        <x:v>Brain-Computer Interface</x:v>
      </x:c>
      <x:c r="C48" s="300" t="str">
        <x:v>IT</x:v>
      </x:c>
      <x:c r="D48" s="299" t="str">
        <x:v>Innovation Trigger</x:v>
      </x:c>
      <x:c r="E48" s="299" t="str">
        <x:v>Human Augmentation / Future of Work</x:v>
      </x:c>
      <x:c r="F48" s="299" t="str">
        <x:v>https://www.gartner.com/smarterwithgartner/top-trends-in-the-gartner-hype-cycle-for-emerging-technologies-2017/</x:v>
      </x:c>
      <x:c r="G48" s="299" t="str">
        <x:v>Chart/list reconstructed from Gartner article/chart and public archival reproductions.</x:v>
      </x:c>
    </x:row>
    <x:row r="49">
      <x:c r="A49" s="300" t="n">
        <x:v>2017</x:v>
      </x:c>
      <x:c r="B49" s="299" t="str">
        <x:v>Human Augmentation</x:v>
      </x:c>
      <x:c r="C49" s="300" t="str">
        <x:v>IT</x:v>
      </x:c>
      <x:c r="D49" s="299" t="str">
        <x:v>Innovation Trigger</x:v>
      </x:c>
      <x:c r="E49" s="299" t="str">
        <x:v>Human Augmentation / Future of Work</x:v>
      </x:c>
      <x:c r="F49" s="299" t="str">
        <x:v>https://www.gartner.com/smarterwithgartner/top-trends-in-the-gartner-hype-cycle-for-emerging-technologies-2017/</x:v>
      </x:c>
      <x:c r="G49" s="299" t="str">
        <x:v>Chart/list reconstructed from Gartner article/chart and public archival reproductions.</x:v>
      </x:c>
    </x:row>
    <x:row r="50">
      <x:c r="A50" s="300" t="n">
        <x:v>2017</x:v>
      </x:c>
      <x:c r="B50" s="299" t="str">
        <x:v>Quantum Computing</x:v>
      </x:c>
      <x:c r="C50" s="300" t="str">
        <x:v>IT</x:v>
      </x:c>
      <x:c r="D50" s="299" t="str">
        <x:v>Innovation Trigger</x:v>
      </x:c>
      <x:c r="E50" s="299" t="str">
        <x:v>Advanced Computing</x:v>
      </x:c>
      <x:c r="F50" s="299" t="str">
        <x:v>https://www.gartner.com/smarterwithgartner/top-trends-in-the-gartner-hype-cycle-for-emerging-technologies-2017/</x:v>
      </x:c>
      <x:c r="G50" s="299" t="str">
        <x:v>Chart/list reconstructed from Gartner article/chart and public archival reproductions.</x:v>
      </x:c>
    </x:row>
    <x:row r="51">
      <x:c r="A51" s="300" t="n">
        <x:v>2017</x:v>
      </x:c>
      <x:c r="B51" s="299" t="str">
        <x:v>Smart Dust</x:v>
      </x:c>
      <x:c r="C51" s="300" t="str">
        <x:v>IT</x:v>
      </x:c>
      <x:c r="D51" s="299" t="str">
        <x:v>Innovation Trigger</x:v>
      </x:c>
      <x:c r="E51" s="299" t="str">
        <x:v>Materials / Bio / Physical</x:v>
      </x:c>
      <x:c r="F51" s="299" t="str">
        <x:v>https://www.gartner.com/smarterwithgartner/top-trends-in-the-gartner-hype-cycle-for-emerging-technologies-2017/</x:v>
      </x:c>
      <x:c r="G51" s="299" t="str">
        <x:v>Chart/list reconstructed from Gartner article/chart and public archival reproductions.</x:v>
      </x:c>
    </x:row>
    <x:row r="52">
      <x:c r="A52" s="300" t="n">
        <x:v>2017</x:v>
      </x:c>
      <x:c r="B52" s="299" t="str">
        <x:v>Volumetric Displays</x:v>
      </x:c>
      <x:c r="C52" s="300" t="str">
        <x:v>IT</x:v>
      </x:c>
      <x:c r="D52" s="299" t="str">
        <x:v>Innovation Trigger</x:v>
      </x:c>
      <x:c r="E52" s="299" t="str">
        <x:v>Experience / Spatial Computing</x:v>
      </x:c>
      <x:c r="F52" s="299" t="str">
        <x:v>https://www.gartner.com/smarterwithgartner/top-trends-in-the-gartner-hype-cycle-for-emerging-technologies-2017/</x:v>
      </x:c>
      <x:c r="G52" s="299" t="str">
        <x:v>Chart/list reconstructed from Gartner article/chart and public archival reproductions.</x:v>
      </x:c>
    </x:row>
    <x:row r="53">
      <x:c r="A53" s="300" t="n">
        <x:v>2017</x:v>
      </x:c>
      <x:c r="B53" s="299" t="str">
        <x:v>Augmented Data Discovery</x:v>
      </x:c>
      <x:c r="C53" s="300" t="str">
        <x:v>PE</x:v>
      </x:c>
      <x:c r="D53" s="299" t="str">
        <x:v>Peak of Inflated Expectations</x:v>
      </x:c>
      <x:c r="E53" s="299" t="str">
        <x:v>Business / Emerging Technology</x:v>
      </x:c>
      <x:c r="F53" s="299" t="str">
        <x:v>https://www.gartner.com/smarterwithgartner/top-trends-in-the-gartner-hype-cycle-for-emerging-technologies-2017/</x:v>
      </x:c>
      <x:c r="G53" s="299" t="str">
        <x:v>Chart/list reconstructed from Gartner article/chart and public archival reproductions.</x:v>
      </x:c>
    </x:row>
    <x:row r="54">
      <x:c r="A54" s="300" t="n">
        <x:v>2017</x:v>
      </x:c>
      <x:c r="B54" s="299" t="str">
        <x:v>Blockchain</x:v>
      </x:c>
      <x:c r="C54" s="300" t="str">
        <x:v>PE</x:v>
      </x:c>
      <x:c r="D54" s="299" t="str">
        <x:v>Peak of Inflated Expectations</x:v>
      </x:c>
      <x:c r="E54" s="299" t="str">
        <x:v>Blockchain / Digital Assets</x:v>
      </x:c>
      <x:c r="F54" s="299" t="str">
        <x:v>https://www.gartner.com/smarterwithgartner/top-trends-in-the-gartner-hype-cycle-for-emerging-technologies-2017/</x:v>
      </x:c>
      <x:c r="G54" s="299" t="str">
        <x:v>Chart/list reconstructed from Gartner article/chart and public archival reproductions.</x:v>
      </x:c>
    </x:row>
    <x:row r="55">
      <x:c r="A55" s="300" t="n">
        <x:v>2017</x:v>
      </x:c>
      <x:c r="B55" s="299" t="str">
        <x:v>Cognitive Computing</x:v>
      </x:c>
      <x:c r="C55" s="300" t="str">
        <x:v>PE</x:v>
      </x:c>
      <x:c r="D55" s="299" t="str">
        <x:v>Peak of Inflated Expectations</x:v>
      </x:c>
      <x:c r="E55" s="299" t="str">
        <x:v>AI / Data / Analytics</x:v>
      </x:c>
      <x:c r="F55" s="299" t="str">
        <x:v>https://www.gartner.com/smarterwithgartner/top-trends-in-the-gartner-hype-cycle-for-emerging-technologies-2017/</x:v>
      </x:c>
      <x:c r="G55" s="299" t="str">
        <x:v>Chart/list reconstructed from Gartner article/chart and public archival reproductions.</x:v>
      </x:c>
    </x:row>
    <x:row r="56">
      <x:c r="A56" s="300" t="n">
        <x:v>2017</x:v>
      </x:c>
      <x:c r="B56" s="299" t="str">
        <x:v>Commercial UAVs (Drones)</x:v>
      </x:c>
      <x:c r="C56" s="300" t="str">
        <x:v>PE</x:v>
      </x:c>
      <x:c r="D56" s="299" t="str">
        <x:v>Peak of Inflated Expectations</x:v>
      </x:c>
      <x:c r="E56" s="299" t="str">
        <x:v>Autonomy / Robotics</x:v>
      </x:c>
      <x:c r="F56" s="299" t="str">
        <x:v>https://www.gartner.com/smarterwithgartner/top-trends-in-the-gartner-hype-cycle-for-emerging-technologies-2017/</x:v>
      </x:c>
      <x:c r="G56" s="299" t="str">
        <x:v>Chart/list reconstructed from Gartner article/chart and public archival reproductions.</x:v>
      </x:c>
    </x:row>
    <x:row r="57">
      <x:c r="A57" s="300" t="n">
        <x:v>2017</x:v>
      </x:c>
      <x:c r="B57" s="299" t="str">
        <x:v>Connected Home</x:v>
      </x:c>
      <x:c r="C57" s="300" t="str">
        <x:v>PE</x:v>
      </x:c>
      <x:c r="D57" s="299" t="str">
        <x:v>Peak of Inflated Expectations</x:v>
      </x:c>
      <x:c r="E57" s="299" t="str">
        <x:v>Business / Emerging Technology</x:v>
      </x:c>
      <x:c r="F57" s="299" t="str">
        <x:v>https://www.gartner.com/smarterwithgartner/top-trends-in-the-gartner-hype-cycle-for-emerging-technologies-2017/</x:v>
      </x:c>
      <x:c r="G57" s="299" t="str">
        <x:v>Chart/list reconstructed from Gartner article/chart and public archival reproductions.</x:v>
      </x:c>
    </x:row>
    <x:row r="58">
      <x:c r="A58" s="300" t="n">
        <x:v>2017</x:v>
      </x:c>
      <x:c r="B58" s="299" t="str">
        <x:v>Deep Learning</x:v>
      </x:c>
      <x:c r="C58" s="300" t="str">
        <x:v>PE</x:v>
      </x:c>
      <x:c r="D58" s="299" t="str">
        <x:v>Peak of Inflated Expectations</x:v>
      </x:c>
      <x:c r="E58" s="299" t="str">
        <x:v>AI / Data / Analytics</x:v>
      </x:c>
      <x:c r="F58" s="299" t="str">
        <x:v>https://www.gartner.com/smarterwithgartner/top-trends-in-the-gartner-hype-cycle-for-emerging-technologies-2017/</x:v>
      </x:c>
      <x:c r="G58" s="299" t="str">
        <x:v>Chart/list reconstructed from Gartner article/chart and public archival reproductions.</x:v>
      </x:c>
    </x:row>
    <x:row r="59">
      <x:c r="A59" s="300" t="n">
        <x:v>2017</x:v>
      </x:c>
      <x:c r="B59" s="299" t="str">
        <x:v>Edge Computing</x:v>
      </x:c>
      <x:c r="C59" s="300" t="str">
        <x:v>PE</x:v>
      </x:c>
      <x:c r="D59" s="299" t="str">
        <x:v>Peak of Inflated Expectations</x:v>
      </x:c>
      <x:c r="E59" s="299" t="str">
        <x:v>Connectivity / Edge / IoT</x:v>
      </x:c>
      <x:c r="F59" s="299" t="str">
        <x:v>https://www.gartner.com/smarterwithgartner/top-trends-in-the-gartner-hype-cycle-for-emerging-technologies-2017/</x:v>
      </x:c>
      <x:c r="G59" s="299" t="str">
        <x:v>Chart/list reconstructed from Gartner article/chart and public archival reproductions.</x:v>
      </x:c>
    </x:row>
    <x:row r="60">
      <x:c r="A60" s="300" t="n">
        <x:v>2017</x:v>
      </x:c>
      <x:c r="B60" s="299" t="str">
        <x:v>IoT Platform</x:v>
      </x:c>
      <x:c r="C60" s="300" t="str">
        <x:v>PE</x:v>
      </x:c>
      <x:c r="D60" s="299" t="str">
        <x:v>Peak of Inflated Expectations</x:v>
      </x:c>
      <x:c r="E60" s="299" t="str">
        <x:v>Connectivity / Edge / IoT</x:v>
      </x:c>
      <x:c r="F60" s="299" t="str">
        <x:v>https://www.gartner.com/smarterwithgartner/top-trends-in-the-gartner-hype-cycle-for-emerging-technologies-2017/</x:v>
      </x:c>
      <x:c r="G60" s="299" t="str">
        <x:v>Chart/list reconstructed from Gartner article/chart and public archival reproductions.</x:v>
      </x:c>
    </x:row>
    <x:row r="61">
      <x:c r="A61" s="300" t="n">
        <x:v>2017</x:v>
      </x:c>
      <x:c r="B61" s="299" t="str">
        <x:v>Machine Learning</x:v>
      </x:c>
      <x:c r="C61" s="300" t="str">
        <x:v>PE</x:v>
      </x:c>
      <x:c r="D61" s="299" t="str">
        <x:v>Peak of Inflated Expectations</x:v>
      </x:c>
      <x:c r="E61" s="299" t="str">
        <x:v>AI / Data / Analytics</x:v>
      </x:c>
      <x:c r="F61" s="299" t="str">
        <x:v>https://www.gartner.com/smarterwithgartner/top-trends-in-the-gartner-hype-cycle-for-emerging-technologies-2017/</x:v>
      </x:c>
      <x:c r="G61" s="299" t="str">
        <x:v>Chart/list reconstructed from Gartner article/chart and public archival reproductions.</x:v>
      </x:c>
    </x:row>
    <x:row r="62">
      <x:c r="A62" s="300" t="n">
        <x:v>2017</x:v>
      </x:c>
      <x:c r="B62" s="299" t="str">
        <x:v>Nanotube Electronics</x:v>
      </x:c>
      <x:c r="C62" s="300" t="str">
        <x:v>PE</x:v>
      </x:c>
      <x:c r="D62" s="299" t="str">
        <x:v>Peak of Inflated Expectations</x:v>
      </x:c>
      <x:c r="E62" s="299" t="str">
        <x:v>Materials / Bio / Physical</x:v>
      </x:c>
      <x:c r="F62" s="299" t="str">
        <x:v>https://www.gartner.com/smarterwithgartner/top-trends-in-the-gartner-hype-cycle-for-emerging-technologies-2017/</x:v>
      </x:c>
      <x:c r="G62" s="299" t="str">
        <x:v>Chart/list reconstructed from Gartner article/chart and public archival reproductions.</x:v>
      </x:c>
    </x:row>
    <x:row r="63">
      <x:c r="A63" s="300" t="n">
        <x:v>2017</x:v>
      </x:c>
      <x:c r="B63" s="299" t="str">
        <x:v>Smart Robots</x:v>
      </x:c>
      <x:c r="C63" s="300" t="str">
        <x:v>PE</x:v>
      </x:c>
      <x:c r="D63" s="299" t="str">
        <x:v>Peak of Inflated Expectations</x:v>
      </x:c>
      <x:c r="E63" s="299" t="str">
        <x:v>Autonomy / Robotics</x:v>
      </x:c>
      <x:c r="F63" s="299" t="str">
        <x:v>https://www.gartner.com/smarterwithgartner/top-trends-in-the-gartner-hype-cycle-for-emerging-technologies-2017/</x:v>
      </x:c>
      <x:c r="G63" s="299" t="str">
        <x:v>Chart/list reconstructed from Gartner article/chart and public archival reproductions.</x:v>
      </x:c>
    </x:row>
    <x:row r="64">
      <x:c r="A64" s="300" t="n">
        <x:v>2017</x:v>
      </x:c>
      <x:c r="B64" s="299" t="str">
        <x:v>Virtual Assistants</x:v>
      </x:c>
      <x:c r="C64" s="300" t="str">
        <x:v>PE</x:v>
      </x:c>
      <x:c r="D64" s="299" t="str">
        <x:v>Peak of Inflated Expectations</x:v>
      </x:c>
      <x:c r="E64" s="299" t="str">
        <x:v>Business / Emerging Technology</x:v>
      </x:c>
      <x:c r="F64" s="299" t="str">
        <x:v>https://www.gartner.com/smarterwithgartner/top-trends-in-the-gartner-hype-cycle-for-emerging-technologies-2017/</x:v>
      </x:c>
      <x:c r="G64" s="299" t="str">
        <x:v>Chart/list reconstructed from Gartner article/chart and public archival reproductions.</x:v>
      </x:c>
    </x:row>
    <x:row r="65">
      <x:c r="A65" s="300" t="n">
        <x:v>2017</x:v>
      </x:c>
      <x:c r="B65" s="299" t="str">
        <x:v>Autonomous Vehicles</x:v>
      </x:c>
      <x:c r="C65" s="300" t="str">
        <x:v>PE</x:v>
      </x:c>
      <x:c r="D65" s="299" t="str">
        <x:v>Peak of Inflated Expectations</x:v>
      </x:c>
      <x:c r="E65" s="299" t="str">
        <x:v>Autonomy / Robotics</x:v>
      </x:c>
      <x:c r="F65" s="299" t="str">
        <x:v>https://www.gartner.com/smarterwithgartner/top-trends-in-the-gartner-hype-cycle-for-emerging-technologies-2017/</x:v>
      </x:c>
      <x:c r="G65" s="299" t="str">
        <x:v>Chart/list reconstructed from Gartner article/chart and public archival reproductions.</x:v>
      </x:c>
    </x:row>
    <x:row r="66">
      <x:c r="A66" s="300" t="n">
        <x:v>2017</x:v>
      </x:c>
      <x:c r="B66" s="299" t="str">
        <x:v>Augmented Reality</x:v>
      </x:c>
      <x:c r="C66" s="300" t="str">
        <x:v>TD</x:v>
      </x:c>
      <x:c r="D66" s="299" t="str">
        <x:v>Trough of Disillusionment</x:v>
      </x:c>
      <x:c r="E66" s="299" t="str">
        <x:v>Experience / Spatial Computing</x:v>
      </x:c>
      <x:c r="F66" s="299" t="str">
        <x:v>https://www.gartner.com/smarterwithgartner/top-trends-in-the-gartner-hype-cycle-for-emerging-technologies-2017/</x:v>
      </x:c>
      <x:c r="G66" s="299" t="str">
        <x:v>Chart/list reconstructed from Gartner article/chart and public archival reproductions.</x:v>
      </x:c>
    </x:row>
    <x:row r="67">
      <x:c r="A67" s="300" t="n">
        <x:v>2017</x:v>
      </x:c>
      <x:c r="B67" s="299" t="str">
        <x:v>Cognitive Expert Advisors</x:v>
      </x:c>
      <x:c r="C67" s="300" t="str">
        <x:v>TD</x:v>
      </x:c>
      <x:c r="D67" s="299" t="str">
        <x:v>Trough of Disillusionment</x:v>
      </x:c>
      <x:c r="E67" s="299" t="str">
        <x:v>AI / Data / Analytics</x:v>
      </x:c>
      <x:c r="F67" s="299" t="str">
        <x:v>https://www.gartner.com/smarterwithgartner/top-trends-in-the-gartner-hype-cycle-for-emerging-technologies-2017/</x:v>
      </x:c>
      <x:c r="G67" s="299" t="str">
        <x:v>Chart/list reconstructed from Gartner article/chart and public archival reproductions.</x:v>
      </x:c>
    </x:row>
    <x:row r="68">
      <x:c r="A68" s="300" t="n">
        <x:v>2017</x:v>
      </x:c>
      <x:c r="B68" s="299" t="str">
        <x:v>Enterprise Taxonomy and Ontology Management</x:v>
      </x:c>
      <x:c r="C68" s="300" t="str">
        <x:v>TD</x:v>
      </x:c>
      <x:c r="D68" s="299" t="str">
        <x:v>Trough of Disillusionment</x:v>
      </x:c>
      <x:c r="E68" s="299" t="str">
        <x:v>Business / Emerging Technology</x:v>
      </x:c>
      <x:c r="F68" s="299" t="str">
        <x:v>https://www.gartner.com/smarterwithgartner/top-trends-in-the-gartner-hype-cycle-for-emerging-technologies-2017/</x:v>
      </x:c>
      <x:c r="G68" s="299" t="str">
        <x:v>Chart/list reconstructed from Gartner article/chart and public archival reproductions.</x:v>
      </x:c>
    </x:row>
    <x:row r="69">
      <x:c r="A69" s="300" t="n">
        <x:v>2017</x:v>
      </x:c>
      <x:c r="B69" s="299" t="str">
        <x:v>Software-Defined Security</x:v>
      </x:c>
      <x:c r="C69" s="300" t="str">
        <x:v>TD</x:v>
      </x:c>
      <x:c r="D69" s="299" t="str">
        <x:v>Trough of Disillusionment</x:v>
      </x:c>
      <x:c r="E69" s="299" t="str">
        <x:v>Security / Privacy</x:v>
      </x:c>
      <x:c r="F69" s="299" t="str">
        <x:v>https://www.gartner.com/smarterwithgartner/top-trends-in-the-gartner-hype-cycle-for-emerging-technologies-2017/</x:v>
      </x:c>
      <x:c r="G69" s="299" t="str">
        <x:v>Chart/list reconstructed from Gartner article/chart and public archival reproductions.</x:v>
      </x:c>
    </x:row>
    <x:row r="70">
      <x:c r="A70" s="300" t="n">
        <x:v>2017</x:v>
      </x:c>
      <x:c r="B70" s="299" t="str">
        <x:v>Virtual Reality</x:v>
      </x:c>
      <x:c r="C70" s="300" t="str">
        <x:v>SE</x:v>
      </x:c>
      <x:c r="D70" s="299" t="str">
        <x:v>Slope of Enlightenment</x:v>
      </x:c>
      <x:c r="E70" s="299" t="str">
        <x:v>Experience / Spatial Computing</x:v>
      </x:c>
      <x:c r="F70" s="299" t="str">
        <x:v>https://www.gartner.com/smarterwithgartner/top-trends-in-the-gartner-hype-cycle-for-emerging-technologies-2017/</x:v>
      </x:c>
      <x:c r="G70" s="299" t="str">
        <x:v>Chart/list reconstructed from Gartner article/chart and public archival reproductions.</x:v>
      </x:c>
    </x:row>
    <x:row r="71">
      <x:c r="A71" s="300" t="n">
        <x:v>2018</x:v>
      </x:c>
      <x:c r="B71" s="299" t="str">
        <x:v>5G</x:v>
      </x:c>
      <x:c r="C71" s="300" t="str">
        <x:v>IT</x:v>
      </x:c>
      <x:c r="D71" s="299" t="str">
        <x:v>Innovation Trigger</x:v>
      </x:c>
      <x:c r="E71" s="299" t="str">
        <x:v>Connectivity / Edge / IoT</x:v>
      </x:c>
      <x:c r="F71" s="299" t="str">
        <x:v>https://www.gartner.com/smarterwithgartner/5-trends-emerge-in-gartner-hype-cycle-for-emerging-technologies-2018/</x:v>
      </x:c>
      <x:c r="G71" s="299" t="str">
        <x:v>Chart/list reconstructed from Gartner article/chart and public archival reproductions.</x:v>
      </x:c>
    </x:row>
    <x:row r="72">
      <x:c r="A72" s="300" t="n">
        <x:v>2018</x:v>
      </x:c>
      <x:c r="B72" s="299" t="str">
        <x:v>Blockchain for Data Security</x:v>
      </x:c>
      <x:c r="C72" s="300" t="str">
        <x:v>IT</x:v>
      </x:c>
      <x:c r="D72" s="299" t="str">
        <x:v>Innovation Trigger</x:v>
      </x:c>
      <x:c r="E72" s="299" t="str">
        <x:v>Blockchain / Digital Assets</x:v>
      </x:c>
      <x:c r="F72" s="299" t="str">
        <x:v>https://www.gartner.com/smarterwithgartner/5-trends-emerge-in-gartner-hype-cycle-for-emerging-technologies-2018/</x:v>
      </x:c>
      <x:c r="G72" s="299" t="str">
        <x:v>Chart/list reconstructed from Gartner article/chart and public archival reproductions.</x:v>
      </x:c>
    </x:row>
    <x:row r="73">
      <x:c r="A73" s="300" t="n">
        <x:v>2018</x:v>
      </x:c>
      <x:c r="B73" s="299" t="str">
        <x:v>Conversational AI Platform</x:v>
      </x:c>
      <x:c r="C73" s="300" t="str">
        <x:v>IT</x:v>
      </x:c>
      <x:c r="D73" s="299" t="str">
        <x:v>Innovation Trigger</x:v>
      </x:c>
      <x:c r="E73" s="299" t="str">
        <x:v>AI / Data / Analytics</x:v>
      </x:c>
      <x:c r="F73" s="299" t="str">
        <x:v>https://www.gartner.com/smarterwithgartner/5-trends-emerge-in-gartner-hype-cycle-for-emerging-technologies-2018/</x:v>
      </x:c>
      <x:c r="G73" s="299" t="str">
        <x:v>Chart/list reconstructed from Gartner article/chart and public archival reproductions.</x:v>
      </x:c>
    </x:row>
    <x:row r="74">
      <x:c r="A74" s="300" t="n">
        <x:v>2018</x:v>
      </x:c>
      <x:c r="B74" s="299" t="str">
        <x:v>Edge AI</x:v>
      </x:c>
      <x:c r="C74" s="300" t="str">
        <x:v>IT</x:v>
      </x:c>
      <x:c r="D74" s="299" t="str">
        <x:v>Innovation Trigger</x:v>
      </x:c>
      <x:c r="E74" s="299" t="str">
        <x:v>Connectivity / Edge / IoT</x:v>
      </x:c>
      <x:c r="F74" s="299" t="str">
        <x:v>https://www.gartner.com/smarterwithgartner/5-trends-emerge-in-gartner-hype-cycle-for-emerging-technologies-2018/</x:v>
      </x:c>
      <x:c r="G74" s="299" t="str">
        <x:v>Chart/list reconstructed from Gartner article/chart and public archival reproductions.</x:v>
      </x:c>
    </x:row>
    <x:row r="75">
      <x:c r="A75" s="300" t="n">
        <x:v>2018</x:v>
      </x:c>
      <x:c r="B75" s="299" t="str">
        <x:v>Knowledge Graphs</x:v>
      </x:c>
      <x:c r="C75" s="300" t="str">
        <x:v>IT</x:v>
      </x:c>
      <x:c r="D75" s="299" t="str">
        <x:v>Innovation Trigger</x:v>
      </x:c>
      <x:c r="E75" s="299" t="str">
        <x:v>Connectivity / Edge / IoT</x:v>
      </x:c>
      <x:c r="F75" s="299" t="str">
        <x:v>https://www.gartner.com/smarterwithgartner/5-trends-emerge-in-gartner-hype-cycle-for-emerging-technologies-2018/</x:v>
      </x:c>
      <x:c r="G75" s="299" t="str">
        <x:v>Chart/list reconstructed from Gartner article/chart and public archival reproductions.</x:v>
      </x:c>
    </x:row>
    <x:row r="76">
      <x:c r="A76" s="300" t="n">
        <x:v>2018</x:v>
      </x:c>
      <x:c r="B76" s="299" t="str">
        <x:v>Neuromorphic Hardware</x:v>
      </x:c>
      <x:c r="C76" s="300" t="str">
        <x:v>IT</x:v>
      </x:c>
      <x:c r="D76" s="299" t="str">
        <x:v>Innovation Trigger</x:v>
      </x:c>
      <x:c r="E76" s="299" t="str">
        <x:v>Advanced Computing</x:v>
      </x:c>
      <x:c r="F76" s="299" t="str">
        <x:v>https://www.gartner.com/smarterwithgartner/5-trends-emerge-in-gartner-hype-cycle-for-emerging-technologies-2018/</x:v>
      </x:c>
      <x:c r="G76" s="299" t="str">
        <x:v>Chart/list reconstructed from Gartner article/chart and public archival reproductions.</x:v>
      </x:c>
    </x:row>
    <x:row r="77">
      <x:c r="A77" s="300" t="n">
        <x:v>2018</x:v>
      </x:c>
      <x:c r="B77" s="299" t="str">
        <x:v>Quantum Computing</x:v>
      </x:c>
      <x:c r="C77" s="300" t="str">
        <x:v>IT</x:v>
      </x:c>
      <x:c r="D77" s="299" t="str">
        <x:v>Innovation Trigger</x:v>
      </x:c>
      <x:c r="E77" s="299" t="str">
        <x:v>Advanced Computing</x:v>
      </x:c>
      <x:c r="F77" s="299" t="str">
        <x:v>https://www.gartner.com/smarterwithgartner/5-trends-emerge-in-gartner-hype-cycle-for-emerging-technologies-2018/</x:v>
      </x:c>
      <x:c r="G77" s="299" t="str">
        <x:v>Chart/list reconstructed from Gartner article/chart and public archival reproductions.</x:v>
      </x:c>
    </x:row>
    <x:row r="78">
      <x:c r="A78" s="300" t="n">
        <x:v>2018</x:v>
      </x:c>
      <x:c r="B78" s="299" t="str">
        <x:v>Self-Healing System Technology</x:v>
      </x:c>
      <x:c r="C78" s="300" t="str">
        <x:v>IT</x:v>
      </x:c>
      <x:c r="D78" s="299" t="str">
        <x:v>Innovation Trigger</x:v>
      </x:c>
      <x:c r="E78" s="299" t="str">
        <x:v>Business / Emerging Technology</x:v>
      </x:c>
      <x:c r="F78" s="299" t="str">
        <x:v>https://www.gartner.com/smarterwithgartner/5-trends-emerge-in-gartner-hype-cycle-for-emerging-technologies-2018/</x:v>
      </x:c>
      <x:c r="G78" s="299" t="str">
        <x:v>Chart/list reconstructed from Gartner article/chart and public archival reproductions.</x:v>
      </x:c>
    </x:row>
    <x:row r="79">
      <x:c r="A79" s="300" t="n">
        <x:v>2018</x:v>
      </x:c>
      <x:c r="B79" s="299" t="str">
        <x:v>4D Printing</x:v>
      </x:c>
      <x:c r="C79" s="300" t="str">
        <x:v>IT</x:v>
      </x:c>
      <x:c r="D79" s="299" t="str">
        <x:v>Innovation Trigger</x:v>
      </x:c>
      <x:c r="E79" s="299" t="str">
        <x:v>Materials / Bio / Physical</x:v>
      </x:c>
      <x:c r="F79" s="299" t="str">
        <x:v>https://www.gartner.com/smarterwithgartner/5-trends-emerge-in-gartner-hype-cycle-for-emerging-technologies-2018/</x:v>
      </x:c>
      <x:c r="G79" s="299" t="str">
        <x:v>Chart/list reconstructed from Gartner article/chart and public archival reproductions.</x:v>
      </x:c>
    </x:row>
    <x:row r="80">
      <x:c r="A80" s="300" t="n">
        <x:v>2018</x:v>
      </x:c>
      <x:c r="B80" s="299" t="str">
        <x:v>Artificial General Intelligence</x:v>
      </x:c>
      <x:c r="C80" s="300" t="str">
        <x:v>IT</x:v>
      </x:c>
      <x:c r="D80" s="299" t="str">
        <x:v>Innovation Trigger</x:v>
      </x:c>
      <x:c r="E80" s="299" t="str">
        <x:v>AI / Data / Analytics</x:v>
      </x:c>
      <x:c r="F80" s="299" t="str">
        <x:v>https://www.gartner.com/smarterwithgartner/5-trends-emerge-in-gartner-hype-cycle-for-emerging-technologies-2018/</x:v>
      </x:c>
      <x:c r="G80" s="299" t="str">
        <x:v>Chart/list reconstructed from Gartner article/chart and public archival reproductions.</x:v>
      </x:c>
    </x:row>
    <x:row r="81">
      <x:c r="A81" s="300" t="n">
        <x:v>2018</x:v>
      </x:c>
      <x:c r="B81" s="299" t="str">
        <x:v>Autonomous Driving Level 5</x:v>
      </x:c>
      <x:c r="C81" s="300" t="str">
        <x:v>IT</x:v>
      </x:c>
      <x:c r="D81" s="299" t="str">
        <x:v>Innovation Trigger</x:v>
      </x:c>
      <x:c r="E81" s="299" t="str">
        <x:v>Autonomy / Robotics</x:v>
      </x:c>
      <x:c r="F81" s="299" t="str">
        <x:v>https://www.gartner.com/smarterwithgartner/5-trends-emerge-in-gartner-hype-cycle-for-emerging-technologies-2018/</x:v>
      </x:c>
      <x:c r="G81" s="299" t="str">
        <x:v>Chart/list reconstructed from Gartner article/chart and public archival reproductions.</x:v>
      </x:c>
    </x:row>
    <x:row r="82">
      <x:c r="A82" s="300" t="n">
        <x:v>2018</x:v>
      </x:c>
      <x:c r="B82" s="299" t="str">
        <x:v>Biotech — Cultured or Artificial Tissue</x:v>
      </x:c>
      <x:c r="C82" s="300" t="str">
        <x:v>IT</x:v>
      </x:c>
      <x:c r="D82" s="299" t="str">
        <x:v>Innovation Trigger</x:v>
      </x:c>
      <x:c r="E82" s="299" t="str">
        <x:v>Connectivity / Edge / IoT</x:v>
      </x:c>
      <x:c r="F82" s="299" t="str">
        <x:v>https://www.gartner.com/smarterwithgartner/5-trends-emerge-in-gartner-hype-cycle-for-emerging-technologies-2018/</x:v>
      </x:c>
      <x:c r="G82" s="299" t="str">
        <x:v>Chart/list reconstructed from Gartner article/chart and public archival reproductions.</x:v>
      </x:c>
    </x:row>
    <x:row r="83">
      <x:c r="A83" s="300" t="n">
        <x:v>2018</x:v>
      </x:c>
      <x:c r="B83" s="299" t="str">
        <x:v>Exoskeleton</x:v>
      </x:c>
      <x:c r="C83" s="300" t="str">
        <x:v>IT</x:v>
      </x:c>
      <x:c r="D83" s="299" t="str">
        <x:v>Innovation Trigger</x:v>
      </x:c>
      <x:c r="E83" s="299" t="str">
        <x:v>Human Augmentation / Future of Work</x:v>
      </x:c>
      <x:c r="F83" s="299" t="str">
        <x:v>https://www.gartner.com/smarterwithgartner/5-trends-emerge-in-gartner-hype-cycle-for-emerging-technologies-2018/</x:v>
      </x:c>
      <x:c r="G83" s="299" t="str">
        <x:v>Chart/list reconstructed from Gartner article/chart and public archival reproductions.</x:v>
      </x:c>
    </x:row>
    <x:row r="84">
      <x:c r="A84" s="300" t="n">
        <x:v>2018</x:v>
      </x:c>
      <x:c r="B84" s="299" t="str">
        <x:v>Flying Autonomous Vehicles</x:v>
      </x:c>
      <x:c r="C84" s="300" t="str">
        <x:v>IT</x:v>
      </x:c>
      <x:c r="D84" s="299" t="str">
        <x:v>Innovation Trigger</x:v>
      </x:c>
      <x:c r="E84" s="299" t="str">
        <x:v>Autonomy / Robotics</x:v>
      </x:c>
      <x:c r="F84" s="299" t="str">
        <x:v>https://www.gartner.com/smarterwithgartner/5-trends-emerge-in-gartner-hype-cycle-for-emerging-technologies-2018/</x:v>
      </x:c>
      <x:c r="G84" s="299" t="str">
        <x:v>Chart/list reconstructed from Gartner article/chart and public archival reproductions.</x:v>
      </x:c>
    </x:row>
    <x:row r="85">
      <x:c r="A85" s="300" t="n">
        <x:v>2018</x:v>
      </x:c>
      <x:c r="B85" s="299" t="str">
        <x:v>Smart Dust</x:v>
      </x:c>
      <x:c r="C85" s="300" t="str">
        <x:v>IT</x:v>
      </x:c>
      <x:c r="D85" s="299" t="str">
        <x:v>Innovation Trigger</x:v>
      </x:c>
      <x:c r="E85" s="299" t="str">
        <x:v>Materials / Bio / Physical</x:v>
      </x:c>
      <x:c r="F85" s="299" t="str">
        <x:v>https://www.gartner.com/smarterwithgartner/5-trends-emerge-in-gartner-hype-cycle-for-emerging-technologies-2018/</x:v>
      </x:c>
      <x:c r="G85" s="299" t="str">
        <x:v>Chart/list reconstructed from Gartner article/chart and public archival reproductions.</x:v>
      </x:c>
    </x:row>
    <x:row r="86">
      <x:c r="A86" s="300" t="n">
        <x:v>2018</x:v>
      </x:c>
      <x:c r="B86" s="299" t="str">
        <x:v>Volumetric Displays</x:v>
      </x:c>
      <x:c r="C86" s="300" t="str">
        <x:v>IT</x:v>
      </x:c>
      <x:c r="D86" s="299" t="str">
        <x:v>Innovation Trigger</x:v>
      </x:c>
      <x:c r="E86" s="299" t="str">
        <x:v>Experience / Spatial Computing</x:v>
      </x:c>
      <x:c r="F86" s="299" t="str">
        <x:v>https://www.gartner.com/smarterwithgartner/5-trends-emerge-in-gartner-hype-cycle-for-emerging-technologies-2018/</x:v>
      </x:c>
      <x:c r="G86" s="299" t="str">
        <x:v>Chart/list reconstructed from Gartner article/chart and public archival reproductions.</x:v>
      </x:c>
    </x:row>
    <x:row r="87">
      <x:c r="A87" s="300" t="n">
        <x:v>2018</x:v>
      </x:c>
      <x:c r="B87" s="299" t="str">
        <x:v>AI PaaS</x:v>
      </x:c>
      <x:c r="C87" s="300" t="str">
        <x:v>PE</x:v>
      </x:c>
      <x:c r="D87" s="299" t="str">
        <x:v>Peak of Inflated Expectations</x:v>
      </x:c>
      <x:c r="E87" s="299" t="str">
        <x:v>Cloud / Software Engineering</x:v>
      </x:c>
      <x:c r="F87" s="299" t="str">
        <x:v>https://www.gartner.com/smarterwithgartner/5-trends-emerge-in-gartner-hype-cycle-for-emerging-technologies-2018/</x:v>
      </x:c>
      <x:c r="G87" s="299" t="str">
        <x:v>Chart/list reconstructed from Gartner article/chart and public archival reproductions.</x:v>
      </x:c>
    </x:row>
    <x:row r="88">
      <x:c r="A88" s="300" t="n">
        <x:v>2018</x:v>
      </x:c>
      <x:c r="B88" s="299" t="str">
        <x:v>Autonomous Mobile Robots</x:v>
      </x:c>
      <x:c r="C88" s="300" t="str">
        <x:v>PE</x:v>
      </x:c>
      <x:c r="D88" s="299" t="str">
        <x:v>Peak of Inflated Expectations</x:v>
      </x:c>
      <x:c r="E88" s="299" t="str">
        <x:v>Autonomy / Robotics</x:v>
      </x:c>
      <x:c r="F88" s="299" t="str">
        <x:v>https://www.gartner.com/smarterwithgartner/5-trends-emerge-in-gartner-hype-cycle-for-emerging-technologies-2018/</x:v>
      </x:c>
      <x:c r="G88" s="299" t="str">
        <x:v>Chart/list reconstructed from Gartner article/chart and public archival reproductions.</x:v>
      </x:c>
    </x:row>
    <x:row r="89">
      <x:c r="A89" s="300" t="n">
        <x:v>2018</x:v>
      </x:c>
      <x:c r="B89" s="299" t="str">
        <x:v>Biochips</x:v>
      </x:c>
      <x:c r="C89" s="300" t="str">
        <x:v>PE</x:v>
      </x:c>
      <x:c r="D89" s="299" t="str">
        <x:v>Peak of Inflated Expectations</x:v>
      </x:c>
      <x:c r="E89" s="299" t="str">
        <x:v>Materials / Bio / Physical</x:v>
      </x:c>
      <x:c r="F89" s="299" t="str">
        <x:v>https://www.gartner.com/smarterwithgartner/5-trends-emerge-in-gartner-hype-cycle-for-emerging-technologies-2018/</x:v>
      </x:c>
      <x:c r="G89" s="299" t="str">
        <x:v>Chart/list reconstructed from Gartner article/chart and public archival reproductions.</x:v>
      </x:c>
    </x:row>
    <x:row r="90">
      <x:c r="A90" s="300" t="n">
        <x:v>2018</x:v>
      </x:c>
      <x:c r="B90" s="299" t="str">
        <x:v>Blockchain</x:v>
      </x:c>
      <x:c r="C90" s="300" t="str">
        <x:v>PE</x:v>
      </x:c>
      <x:c r="D90" s="299" t="str">
        <x:v>Peak of Inflated Expectations</x:v>
      </x:c>
      <x:c r="E90" s="299" t="str">
        <x:v>Blockchain / Digital Assets</x:v>
      </x:c>
      <x:c r="F90" s="299" t="str">
        <x:v>https://www.gartner.com/smarterwithgartner/5-trends-emerge-in-gartner-hype-cycle-for-emerging-technologies-2018/</x:v>
      </x:c>
      <x:c r="G90" s="299" t="str">
        <x:v>Chart/list reconstructed from Gartner article/chart and public archival reproductions.</x:v>
      </x:c>
    </x:row>
    <x:row r="91">
      <x:c r="A91" s="300" t="n">
        <x:v>2018</x:v>
      </x:c>
      <x:c r="B91" s="299" t="str">
        <x:v>Carbon Nanotube</x:v>
      </x:c>
      <x:c r="C91" s="300" t="str">
        <x:v>PE</x:v>
      </x:c>
      <x:c r="D91" s="299" t="str">
        <x:v>Peak of Inflated Expectations</x:v>
      </x:c>
      <x:c r="E91" s="299" t="str">
        <x:v>Materials / Bio / Physical</x:v>
      </x:c>
      <x:c r="F91" s="299" t="str">
        <x:v>https://www.gartner.com/smarterwithgartner/5-trends-emerge-in-gartner-hype-cycle-for-emerging-technologies-2018/</x:v>
      </x:c>
      <x:c r="G91" s="299" t="str">
        <x:v>Chart/list reconstructed from Gartner article/chart and public archival reproductions.</x:v>
      </x:c>
    </x:row>
    <x:row r="92">
      <x:c r="A92" s="300" t="n">
        <x:v>2018</x:v>
      </x:c>
      <x:c r="B92" s="299" t="str">
        <x:v>Deep Neural Nets (Deep Learning)</x:v>
      </x:c>
      <x:c r="C92" s="300" t="str">
        <x:v>PE</x:v>
      </x:c>
      <x:c r="D92" s="299" t="str">
        <x:v>Peak of Inflated Expectations</x:v>
      </x:c>
      <x:c r="E92" s="299" t="str">
        <x:v>AI / Data / Analytics</x:v>
      </x:c>
      <x:c r="F92" s="299" t="str">
        <x:v>https://www.gartner.com/smarterwithgartner/5-trends-emerge-in-gartner-hype-cycle-for-emerging-technologies-2018/</x:v>
      </x:c>
      <x:c r="G92" s="299" t="str">
        <x:v>Chart/list reconstructed from Gartner article/chart and public archival reproductions.</x:v>
      </x:c>
    </x:row>
    <x:row r="93">
      <x:c r="A93" s="300" t="n">
        <x:v>2018</x:v>
      </x:c>
      <x:c r="B93" s="299" t="str">
        <x:v>Deep Neural Network ASICs</x:v>
      </x:c>
      <x:c r="C93" s="300" t="str">
        <x:v>PE</x:v>
      </x:c>
      <x:c r="D93" s="299" t="str">
        <x:v>Peak of Inflated Expectations</x:v>
      </x:c>
      <x:c r="E93" s="299" t="str">
        <x:v>Connectivity / Edge / IoT</x:v>
      </x:c>
      <x:c r="F93" s="299" t="str">
        <x:v>https://www.gartner.com/smarterwithgartner/5-trends-emerge-in-gartner-hype-cycle-for-emerging-technologies-2018/</x:v>
      </x:c>
      <x:c r="G93" s="299" t="str">
        <x:v>Chart/list reconstructed from Gartner article/chart and public archival reproductions.</x:v>
      </x:c>
    </x:row>
    <x:row r="94">
      <x:c r="A94" s="300" t="n">
        <x:v>2018</x:v>
      </x:c>
      <x:c r="B94" s="299" t="str">
        <x:v>Digital Twin</x:v>
      </x:c>
      <x:c r="C94" s="300" t="str">
        <x:v>PE</x:v>
      </x:c>
      <x:c r="D94" s="299" t="str">
        <x:v>Peak of Inflated Expectations</x:v>
      </x:c>
      <x:c r="E94" s="299" t="str">
        <x:v>Business / Emerging Technology</x:v>
      </x:c>
      <x:c r="F94" s="299" t="str">
        <x:v>https://www.gartner.com/smarterwithgartner/5-trends-emerge-in-gartner-hype-cycle-for-emerging-technologies-2018/</x:v>
      </x:c>
      <x:c r="G94" s="299" t="str">
        <x:v>Chart/list reconstructed from Gartner article/chart and public archival reproductions.</x:v>
      </x:c>
    </x:row>
    <x:row r="95">
      <x:c r="A95" s="300" t="n">
        <x:v>2018</x:v>
      </x:c>
      <x:c r="B95" s="299" t="str">
        <x:v>IoT Platform</x:v>
      </x:c>
      <x:c r="C95" s="300" t="str">
        <x:v>PE</x:v>
      </x:c>
      <x:c r="D95" s="299" t="str">
        <x:v>Peak of Inflated Expectations</x:v>
      </x:c>
      <x:c r="E95" s="299" t="str">
        <x:v>Connectivity / Edge / IoT</x:v>
      </x:c>
      <x:c r="F95" s="299" t="str">
        <x:v>https://www.gartner.com/smarterwithgartner/5-trends-emerge-in-gartner-hype-cycle-for-emerging-technologies-2018/</x:v>
      </x:c>
      <x:c r="G95" s="299" t="str">
        <x:v>Chart/list reconstructed from Gartner article/chart and public archival reproductions.</x:v>
      </x:c>
    </x:row>
    <x:row r="96">
      <x:c r="A96" s="300" t="n">
        <x:v>2018</x:v>
      </x:c>
      <x:c r="B96" s="299" t="str">
        <x:v>Silicon Anode Batteries</x:v>
      </x:c>
      <x:c r="C96" s="300" t="str">
        <x:v>PE</x:v>
      </x:c>
      <x:c r="D96" s="299" t="str">
        <x:v>Peak of Inflated Expectations</x:v>
      </x:c>
      <x:c r="E96" s="299" t="str">
        <x:v>Materials / Bio / Physical</x:v>
      </x:c>
      <x:c r="F96" s="299" t="str">
        <x:v>https://www.gartner.com/smarterwithgartner/5-trends-emerge-in-gartner-hype-cycle-for-emerging-technologies-2018/</x:v>
      </x:c>
      <x:c r="G96" s="299" t="str">
        <x:v>Chart/list reconstructed from Gartner article/chart and public archival reproductions.</x:v>
      </x:c>
    </x:row>
    <x:row r="97">
      <x:c r="A97" s="300" t="n">
        <x:v>2018</x:v>
      </x:c>
      <x:c r="B97" s="299" t="str">
        <x:v>Smart Robots</x:v>
      </x:c>
      <x:c r="C97" s="300" t="str">
        <x:v>PE</x:v>
      </x:c>
      <x:c r="D97" s="299" t="str">
        <x:v>Peak of Inflated Expectations</x:v>
      </x:c>
      <x:c r="E97" s="299" t="str">
        <x:v>Autonomy / Robotics</x:v>
      </x:c>
      <x:c r="F97" s="299" t="str">
        <x:v>https://www.gartner.com/smarterwithgartner/5-trends-emerge-in-gartner-hype-cycle-for-emerging-technologies-2018/</x:v>
      </x:c>
      <x:c r="G97" s="299" t="str">
        <x:v>Chart/list reconstructed from Gartner article/chart and public archival reproductions.</x:v>
      </x:c>
    </x:row>
    <x:row r="98">
      <x:c r="A98" s="300" t="n">
        <x:v>2018</x:v>
      </x:c>
      <x:c r="B98" s="299" t="str">
        <x:v>Smart Workspace</x:v>
      </x:c>
      <x:c r="C98" s="300" t="str">
        <x:v>PE</x:v>
      </x:c>
      <x:c r="D98" s="299" t="str">
        <x:v>Peak of Inflated Expectations</x:v>
      </x:c>
      <x:c r="E98" s="299" t="str">
        <x:v>Experience / Spatial Computing</x:v>
      </x:c>
      <x:c r="F98" s="299" t="str">
        <x:v>https://www.gartner.com/smarterwithgartner/5-trends-emerge-in-gartner-hype-cycle-for-emerging-technologies-2018/</x:v>
      </x:c>
      <x:c r="G98" s="299" t="str">
        <x:v>Chart/list reconstructed from Gartner article/chart and public archival reproductions.</x:v>
      </x:c>
    </x:row>
    <x:row r="99">
      <x:c r="A99" s="300" t="n">
        <x:v>2018</x:v>
      </x:c>
      <x:c r="B99" s="299" t="str">
        <x:v>Virtual Assistants</x:v>
      </x:c>
      <x:c r="C99" s="300" t="str">
        <x:v>PE</x:v>
      </x:c>
      <x:c r="D99" s="299" t="str">
        <x:v>Peak of Inflated Expectations</x:v>
      </x:c>
      <x:c r="E99" s="299" t="str">
        <x:v>Business / Emerging Technology</x:v>
      </x:c>
      <x:c r="F99" s="299" t="str">
        <x:v>https://www.gartner.com/smarterwithgartner/5-trends-emerge-in-gartner-hype-cycle-for-emerging-technologies-2018/</x:v>
      </x:c>
      <x:c r="G99" s="299" t="str">
        <x:v>Chart/list reconstructed from Gartner article/chart and public archival reproductions.</x:v>
      </x:c>
    </x:row>
    <x:row r="100">
      <x:c r="A100" s="300" t="n">
        <x:v>2018</x:v>
      </x:c>
      <x:c r="B100" s="299" t="str">
        <x:v>Brain-Computer Interface</x:v>
      </x:c>
      <x:c r="C100" s="300" t="str">
        <x:v>PE</x:v>
      </x:c>
      <x:c r="D100" s="299" t="str">
        <x:v>Peak of Inflated Expectations</x:v>
      </x:c>
      <x:c r="E100" s="299" t="str">
        <x:v>Human Augmentation / Future of Work</x:v>
      </x:c>
      <x:c r="F100" s="299" t="str">
        <x:v>https://www.gartner.com/smarterwithgartner/5-trends-emerge-in-gartner-hype-cycle-for-emerging-technologies-2018/</x:v>
      </x:c>
      <x:c r="G100" s="299" t="str">
        <x:v>Chart/list reconstructed from Gartner article/chart and public archival reproductions.</x:v>
      </x:c>
    </x:row>
    <x:row r="101">
      <x:c r="A101" s="300" t="n">
        <x:v>2018</x:v>
      </x:c>
      <x:c r="B101" s="299" t="str">
        <x:v>Augmented Reality</x:v>
      </x:c>
      <x:c r="C101" s="300" t="str">
        <x:v>TD</x:v>
      </x:c>
      <x:c r="D101" s="299" t="str">
        <x:v>Trough of Disillusionment</x:v>
      </x:c>
      <x:c r="E101" s="299" t="str">
        <x:v>Experience / Spatial Computing</x:v>
      </x:c>
      <x:c r="F101" s="299" t="str">
        <x:v>https://www.gartner.com/smarterwithgartner/5-trends-emerge-in-gartner-hype-cycle-for-emerging-technologies-2018/</x:v>
      </x:c>
      <x:c r="G101" s="299" t="str">
        <x:v>Chart/list reconstructed from Gartner article/chart and public archival reproductions.</x:v>
      </x:c>
    </x:row>
    <x:row r="102">
      <x:c r="A102" s="300" t="n">
        <x:v>2018</x:v>
      </x:c>
      <x:c r="B102" s="299" t="str">
        <x:v>Connected Home</x:v>
      </x:c>
      <x:c r="C102" s="300" t="str">
        <x:v>TD</x:v>
      </x:c>
      <x:c r="D102" s="299" t="str">
        <x:v>Trough of Disillusionment</x:v>
      </x:c>
      <x:c r="E102" s="299" t="str">
        <x:v>Business / Emerging Technology</x:v>
      </x:c>
      <x:c r="F102" s="299" t="str">
        <x:v>https://www.gartner.com/smarterwithgartner/5-trends-emerge-in-gartner-hype-cycle-for-emerging-technologies-2018/</x:v>
      </x:c>
      <x:c r="G102" s="299" t="str">
        <x:v>Chart/list reconstructed from Gartner article/chart and public archival reproductions.</x:v>
      </x:c>
    </x:row>
    <x:row r="103">
      <x:c r="A103" s="300" t="n">
        <x:v>2018</x:v>
      </x:c>
      <x:c r="B103" s="299" t="str">
        <x:v>Mixed Reality</x:v>
      </x:c>
      <x:c r="C103" s="300" t="str">
        <x:v>TD</x:v>
      </x:c>
      <x:c r="D103" s="299" t="str">
        <x:v>Trough of Disillusionment</x:v>
      </x:c>
      <x:c r="E103" s="299" t="str">
        <x:v>Experience / Spatial Computing</x:v>
      </x:c>
      <x:c r="F103" s="299" t="str">
        <x:v>https://www.gartner.com/smarterwithgartner/5-trends-emerge-in-gartner-hype-cycle-for-emerging-technologies-2018/</x:v>
      </x:c>
      <x:c r="G103" s="299" t="str">
        <x:v>Chart/list reconstructed from Gartner article/chart and public archival reproductions.</x:v>
      </x:c>
    </x:row>
    <x:row r="104">
      <x:c r="A104" s="300" t="n">
        <x:v>2018</x:v>
      </x:c>
      <x:c r="B104" s="299" t="str">
        <x:v>Smart Fabrics</x:v>
      </x:c>
      <x:c r="C104" s="300" t="str">
        <x:v>TD</x:v>
      </x:c>
      <x:c r="D104" s="299" t="str">
        <x:v>Trough of Disillusionment</x:v>
      </x:c>
      <x:c r="E104" s="299" t="str">
        <x:v>Materials / Bio / Physical</x:v>
      </x:c>
      <x:c r="F104" s="299" t="str">
        <x:v>https://www.gartner.com/smarterwithgartner/5-trends-emerge-in-gartner-hype-cycle-for-emerging-technologies-2018/</x:v>
      </x:c>
      <x:c r="G104" s="299" t="str">
        <x:v>Chart/list reconstructed from Gartner article/chart and public archival reproductions.</x:v>
      </x:c>
    </x:row>
    <x:row r="105">
      <x:c r="A105" s="300" t="n">
        <x:v>2018</x:v>
      </x:c>
      <x:c r="B105" s="299" t="str">
        <x:v>Autonomous Driving Level 4</x:v>
      </x:c>
      <x:c r="C105" s="300" t="str">
        <x:v>TD</x:v>
      </x:c>
      <x:c r="D105" s="299" t="str">
        <x:v>Trough of Disillusionment</x:v>
      </x:c>
      <x:c r="E105" s="299" t="str">
        <x:v>Autonomy / Robotics</x:v>
      </x:c>
      <x:c r="F105" s="299" t="str">
        <x:v>https://www.gartner.com/smarterwithgartner/5-trends-emerge-in-gartner-hype-cycle-for-emerging-technologies-2018/</x:v>
      </x:c>
      <x:c r="G105" s="299" t="str">
        <x:v>Chart/list reconstructed from Gartner article/chart and public archival reproductions.</x:v>
      </x:c>
    </x:row>
    <x:row r="106">
      <x:c r="A106" s="300" t="n">
        <x:v>2019</x:v>
      </x:c>
      <x:c r="B106" s="299" t="str">
        <x:v>Biotech — Cultured or Artificial Tissue</x:v>
      </x:c>
      <x:c r="C106" s="300" t="str">
        <x:v>IT</x:v>
      </x:c>
      <x:c r="D106" s="299" t="str">
        <x:v>Innovation Trigger</x:v>
      </x:c>
      <x:c r="E106" s="299" t="str">
        <x:v>Connectivity / Edge / IoT</x:v>
      </x:c>
      <x:c r="F106" s="299" t="str">
        <x:v>https://www.gartner.com/smarterwithgartner/5-trends-appear-on-the-gartner-hype-cycle-for-emerging-technologies-2019/</x:v>
      </x:c>
      <x:c r="G106" s="299" t="str">
        <x:v>Chart/list reconstructed from Gartner article/chart and public archival reproductions.</x:v>
      </x:c>
    </x:row>
    <x:row r="107">
      <x:c r="A107" s="300" t="n">
        <x:v>2019</x:v>
      </x:c>
      <x:c r="B107" s="299" t="str">
        <x:v>Immersive Workspaces</x:v>
      </x:c>
      <x:c r="C107" s="300" t="str">
        <x:v>IT</x:v>
      </x:c>
      <x:c r="D107" s="299" t="str">
        <x:v>Innovation Trigger</x:v>
      </x:c>
      <x:c r="E107" s="299" t="str">
        <x:v>Experience / Spatial Computing</x:v>
      </x:c>
      <x:c r="F107" s="299" t="str">
        <x:v>https://www.gartner.com/smarterwithgartner/5-trends-appear-on-the-gartner-hype-cycle-for-emerging-technologies-2019/</x:v>
      </x:c>
      <x:c r="G107" s="299" t="str">
        <x:v>Chart/list reconstructed from Gartner article/chart and public archival reproductions.</x:v>
      </x:c>
    </x:row>
    <x:row r="108">
      <x:c r="A108" s="300" t="n">
        <x:v>2019</x:v>
      </x:c>
      <x:c r="B108" s="299" t="str">
        <x:v>Decentralized Web</x:v>
      </x:c>
      <x:c r="C108" s="300" t="str">
        <x:v>IT</x:v>
      </x:c>
      <x:c r="D108" s="299" t="str">
        <x:v>Innovation Trigger</x:v>
      </x:c>
      <x:c r="E108" s="299" t="str">
        <x:v>Blockchain / Digital Assets</x:v>
      </x:c>
      <x:c r="F108" s="299" t="str">
        <x:v>https://www.gartner.com/smarterwithgartner/5-trends-appear-on-the-gartner-hype-cycle-for-emerging-technologies-2019/</x:v>
      </x:c>
      <x:c r="G108" s="299" t="str">
        <x:v>Chart/list reconstructed from Gartner article/chart and public archival reproductions.</x:v>
      </x:c>
    </x:row>
    <x:row r="109">
      <x:c r="A109" s="300" t="n">
        <x:v>2019</x:v>
      </x:c>
      <x:c r="B109" s="299" t="str">
        <x:v>Generative Adversarial Networks</x:v>
      </x:c>
      <x:c r="C109" s="300" t="str">
        <x:v>IT</x:v>
      </x:c>
      <x:c r="D109" s="299" t="str">
        <x:v>Innovation Trigger</x:v>
      </x:c>
      <x:c r="E109" s="299" t="str">
        <x:v>Connectivity / Edge / IoT</x:v>
      </x:c>
      <x:c r="F109" s="299" t="str">
        <x:v>https://www.gartner.com/smarterwithgartner/5-trends-appear-on-the-gartner-hype-cycle-for-emerging-technologies-2019/</x:v>
      </x:c>
      <x:c r="G109" s="299" t="str">
        <x:v>Chart/list reconstructed from Gartner article/chart and public archival reproductions.</x:v>
      </x:c>
    </x:row>
    <x:row r="110">
      <x:c r="A110" s="300" t="n">
        <x:v>2019</x:v>
      </x:c>
      <x:c r="B110" s="299" t="str">
        <x:v>Adaptive ML</x:v>
      </x:c>
      <x:c r="C110" s="300" t="str">
        <x:v>IT</x:v>
      </x:c>
      <x:c r="D110" s="299" t="str">
        <x:v>Innovation Trigger</x:v>
      </x:c>
      <x:c r="E110" s="299" t="str">
        <x:v>Business / Emerging Technology</x:v>
      </x:c>
      <x:c r="F110" s="299" t="str">
        <x:v>https://www.gartner.com/smarterwithgartner/5-trends-appear-on-the-gartner-hype-cycle-for-emerging-technologies-2019/</x:v>
      </x:c>
      <x:c r="G110" s="299" t="str">
        <x:v>Chart/list reconstructed from Gartner article/chart and public archival reproductions.</x:v>
      </x:c>
    </x:row>
    <x:row r="111">
      <x:c r="A111" s="300" t="n">
        <x:v>2019</x:v>
      </x:c>
      <x:c r="B111" s="299" t="str">
        <x:v>DigitalOps</x:v>
      </x:c>
      <x:c r="C111" s="300" t="str">
        <x:v>IT</x:v>
      </x:c>
      <x:c r="D111" s="299" t="str">
        <x:v>Innovation Trigger</x:v>
      </x:c>
      <x:c r="E111" s="299" t="str">
        <x:v>Cloud / Software Engineering</x:v>
      </x:c>
      <x:c r="F111" s="299" t="str">
        <x:v>https://www.gartner.com/smarterwithgartner/5-trends-appear-on-the-gartner-hype-cycle-for-emerging-technologies-2019/</x:v>
      </x:c>
      <x:c r="G111" s="299" t="str">
        <x:v>Chart/list reconstructed from Gartner article/chart and public archival reproductions.</x:v>
      </x:c>
    </x:row>
    <x:row r="112">
      <x:c r="A112" s="300" t="n">
        <x:v>2019</x:v>
      </x:c>
      <x:c r="B112" s="299" t="str">
        <x:v>Decentralized Autonomous Organization</x:v>
      </x:c>
      <x:c r="C112" s="300" t="str">
        <x:v>IT</x:v>
      </x:c>
      <x:c r="D112" s="299" t="str">
        <x:v>Innovation Trigger</x:v>
      </x:c>
      <x:c r="E112" s="299" t="str">
        <x:v>Blockchain / Digital Assets</x:v>
      </x:c>
      <x:c r="F112" s="299" t="str">
        <x:v>https://www.gartner.com/smarterwithgartner/5-trends-appear-on-the-gartner-hype-cycle-for-emerging-technologies-2019/</x:v>
      </x:c>
      <x:c r="G112" s="299" t="str">
        <x:v>Chart/list reconstructed from Gartner article/chart and public archival reproductions.</x:v>
      </x:c>
    </x:row>
    <x:row r="113">
      <x:c r="A113" s="300" t="n">
        <x:v>2019</x:v>
      </x:c>
      <x:c r="B113" s="299" t="str">
        <x:v>Nanoscale 3D Printing</x:v>
      </x:c>
      <x:c r="C113" s="300" t="str">
        <x:v>IT</x:v>
      </x:c>
      <x:c r="D113" s="299" t="str">
        <x:v>Innovation Trigger</x:v>
      </x:c>
      <x:c r="E113" s="299" t="str">
        <x:v>Materials / Bio / Physical</x:v>
      </x:c>
      <x:c r="F113" s="299" t="str">
        <x:v>https://www.gartner.com/smarterwithgartner/5-trends-appear-on-the-gartner-hype-cycle-for-emerging-technologies-2019/</x:v>
      </x:c>
      <x:c r="G113" s="299" t="str">
        <x:v>Chart/list reconstructed from Gartner article/chart and public archival reproductions.</x:v>
      </x:c>
    </x:row>
    <x:row r="114">
      <x:c r="A114" s="300" t="n">
        <x:v>2019</x:v>
      </x:c>
      <x:c r="B114" s="299" t="str">
        <x:v>Augmented Intelligence</x:v>
      </x:c>
      <x:c r="C114" s="300" t="str">
        <x:v>IT</x:v>
      </x:c>
      <x:c r="D114" s="299" t="str">
        <x:v>Innovation Trigger</x:v>
      </x:c>
      <x:c r="E114" s="299" t="str">
        <x:v>AI / Data / Analytics</x:v>
      </x:c>
      <x:c r="F114" s="299" t="str">
        <x:v>https://www.gartner.com/smarterwithgartner/5-trends-appear-on-the-gartner-hype-cycle-for-emerging-technologies-2019/</x:v>
      </x:c>
      <x:c r="G114" s="299" t="str">
        <x:v>Chart/list reconstructed from Gartner article/chart and public archival reproductions.</x:v>
      </x:c>
    </x:row>
    <x:row r="115">
      <x:c r="A115" s="300" t="n">
        <x:v>2019</x:v>
      </x:c>
      <x:c r="B115" s="299" t="str">
        <x:v>Flying Autonomous Vehicles</x:v>
      </x:c>
      <x:c r="C115" s="300" t="str">
        <x:v>IT</x:v>
      </x:c>
      <x:c r="D115" s="299" t="str">
        <x:v>Innovation Trigger</x:v>
      </x:c>
      <x:c r="E115" s="299" t="str">
        <x:v>Autonomy / Robotics</x:v>
      </x:c>
      <x:c r="F115" s="299" t="str">
        <x:v>https://www.gartner.com/smarterwithgartner/5-trends-appear-on-the-gartner-hype-cycle-for-emerging-technologies-2019/</x:v>
      </x:c>
      <x:c r="G115" s="299" t="str">
        <x:v>Chart/list reconstructed from Gartner article/chart and public archival reproductions.</x:v>
      </x:c>
    </x:row>
    <x:row r="116">
      <x:c r="A116" s="300" t="n">
        <x:v>2019</x:v>
      </x:c>
      <x:c r="B116" s="299" t="str">
        <x:v>Transfer Learning</x:v>
      </x:c>
      <x:c r="C116" s="300" t="str">
        <x:v>IT</x:v>
      </x:c>
      <x:c r="D116" s="299" t="str">
        <x:v>Innovation Trigger</x:v>
      </x:c>
      <x:c r="E116" s="299" t="str">
        <x:v>AI / Data / Analytics</x:v>
      </x:c>
      <x:c r="F116" s="299" t="str">
        <x:v>https://www.gartner.com/smarterwithgartner/5-trends-appear-on-the-gartner-hype-cycle-for-emerging-technologies-2019/</x:v>
      </x:c>
      <x:c r="G116" s="299" t="str">
        <x:v>Chart/list reconstructed from Gartner article/chart and public archival reproductions.</x:v>
      </x:c>
    </x:row>
    <x:row r="117">
      <x:c r="A117" s="300" t="n">
        <x:v>2019</x:v>
      </x:c>
      <x:c r="B117" s="299" t="str">
        <x:v>Emotion AI</x:v>
      </x:c>
      <x:c r="C117" s="300" t="str">
        <x:v>IT</x:v>
      </x:c>
      <x:c r="D117" s="299" t="str">
        <x:v>Innovation Trigger</x:v>
      </x:c>
      <x:c r="E117" s="299" t="str">
        <x:v>AI / Data / Analytics</x:v>
      </x:c>
      <x:c r="F117" s="299" t="str">
        <x:v>https://www.gartner.com/smarterwithgartner/5-trends-appear-on-the-gartner-hype-cycle-for-emerging-technologies-2019/</x:v>
      </x:c>
      <x:c r="G117" s="299" t="str">
        <x:v>Chart/list reconstructed from Gartner article/chart and public archival reproductions.</x:v>
      </x:c>
    </x:row>
    <x:row r="118">
      <x:c r="A118" s="300" t="n">
        <x:v>2019</x:v>
      </x:c>
      <x:c r="B118" s="299" t="str">
        <x:v>Light Cargo Delivery Drones</x:v>
      </x:c>
      <x:c r="C118" s="300" t="str">
        <x:v>IT</x:v>
      </x:c>
      <x:c r="D118" s="299" t="str">
        <x:v>Innovation Trigger</x:v>
      </x:c>
      <x:c r="E118" s="299" t="str">
        <x:v>Autonomy / Robotics</x:v>
      </x:c>
      <x:c r="F118" s="299" t="str">
        <x:v>https://www.gartner.com/smarterwithgartner/5-trends-appear-on-the-gartner-hype-cycle-for-emerging-technologies-2019/</x:v>
      </x:c>
      <x:c r="G118" s="299" t="str">
        <x:v>Chart/list reconstructed from Gartner article/chart and public archival reproductions.</x:v>
      </x:c>
    </x:row>
    <x:row r="119">
      <x:c r="A119" s="300" t="n">
        <x:v>2019</x:v>
      </x:c>
      <x:c r="B119" s="299" t="str">
        <x:v>Synthetic Data</x:v>
      </x:c>
      <x:c r="C119" s="300" t="str">
        <x:v>IT</x:v>
      </x:c>
      <x:c r="D119" s="299" t="str">
        <x:v>Innovation Trigger</x:v>
      </x:c>
      <x:c r="E119" s="299" t="str">
        <x:v>AI / Data / Analytics</x:v>
      </x:c>
      <x:c r="F119" s="299" t="str">
        <x:v>https://www.gartner.com/smarterwithgartner/5-trends-appear-on-the-gartner-hype-cycle-for-emerging-technologies-2019/</x:v>
      </x:c>
      <x:c r="G119" s="299" t="str">
        <x:v>Chart/list reconstructed from Gartner article/chart and public archival reproductions.</x:v>
      </x:c>
    </x:row>
    <x:row r="120">
      <x:c r="A120" s="300" t="n">
        <x:v>2019</x:v>
      </x:c>
      <x:c r="B120" s="299" t="str">
        <x:v>Knowledge Graphs</x:v>
      </x:c>
      <x:c r="C120" s="300" t="str">
        <x:v>IT</x:v>
      </x:c>
      <x:c r="D120" s="299" t="str">
        <x:v>Innovation Trigger</x:v>
      </x:c>
      <x:c r="E120" s="299" t="str">
        <x:v>Connectivity / Edge / IoT</x:v>
      </x:c>
      <x:c r="F120" s="299" t="str">
        <x:v>https://www.gartner.com/smarterwithgartner/5-trends-appear-on-the-gartner-hype-cycle-for-emerging-technologies-2019/</x:v>
      </x:c>
      <x:c r="G120" s="299" t="str">
        <x:v>Chart/list reconstructed from Gartner article/chart and public archival reproductions.</x:v>
      </x:c>
    </x:row>
    <x:row r="121">
      <x:c r="A121" s="300" t="n">
        <x:v>2019</x:v>
      </x:c>
      <x:c r="B121" s="299" t="str">
        <x:v>Personification</x:v>
      </x:c>
      <x:c r="C121" s="300" t="str">
        <x:v>IT</x:v>
      </x:c>
      <x:c r="D121" s="299" t="str">
        <x:v>Innovation Trigger</x:v>
      </x:c>
      <x:c r="E121" s="299" t="str">
        <x:v>Business / Emerging Technology</x:v>
      </x:c>
      <x:c r="F121" s="299" t="str">
        <x:v>https://www.gartner.com/smarterwithgartner/5-trends-appear-on-the-gartner-hype-cycle-for-emerging-technologies-2019/</x:v>
      </x:c>
      <x:c r="G121" s="299" t="str">
        <x:v>Chart/list reconstructed from Gartner article/chart and public archival reproductions.</x:v>
      </x:c>
    </x:row>
    <x:row r="122">
      <x:c r="A122" s="300" t="n">
        <x:v>2019</x:v>
      </x:c>
      <x:c r="B122" s="299" t="str">
        <x:v>Explainable AI</x:v>
      </x:c>
      <x:c r="C122" s="300" t="str">
        <x:v>IT</x:v>
      </x:c>
      <x:c r="D122" s="299" t="str">
        <x:v>Innovation Trigger</x:v>
      </x:c>
      <x:c r="E122" s="299" t="str">
        <x:v>AI / Data / Analytics</x:v>
      </x:c>
      <x:c r="F122" s="299" t="str">
        <x:v>https://www.gartner.com/smarterwithgartner/5-trends-appear-on-the-gartner-hype-cycle-for-emerging-technologies-2019/</x:v>
      </x:c>
      <x:c r="G122" s="299" t="str">
        <x:v>Chart/list reconstructed from Gartner article/chart and public archival reproductions.</x:v>
      </x:c>
    </x:row>
    <x:row r="123">
      <x:c r="A123" s="300" t="n">
        <x:v>2019</x:v>
      </x:c>
      <x:c r="B123" s="299" t="str">
        <x:v>AR Cloud</x:v>
      </x:c>
      <x:c r="C123" s="300" t="str">
        <x:v>IT</x:v>
      </x:c>
      <x:c r="D123" s="299" t="str">
        <x:v>Innovation Trigger</x:v>
      </x:c>
      <x:c r="E123" s="299" t="str">
        <x:v>Cloud / Software Engineering</x:v>
      </x:c>
      <x:c r="F123" s="299" t="str">
        <x:v>https://www.gartner.com/smarterwithgartner/5-trends-appear-on-the-gartner-hype-cycle-for-emerging-technologies-2019/</x:v>
      </x:c>
      <x:c r="G123" s="299" t="str">
        <x:v>Chart/list reconstructed from Gartner article/chart and public archival reproductions.</x:v>
      </x:c>
    </x:row>
    <x:row r="124">
      <x:c r="A124" s="300" t="n">
        <x:v>2019</x:v>
      </x:c>
      <x:c r="B124" s="299" t="str">
        <x:v>Edge AI</x:v>
      </x:c>
      <x:c r="C124" s="300" t="str">
        <x:v>PE</x:v>
      </x:c>
      <x:c r="D124" s="299" t="str">
        <x:v>Peak of Inflated Expectations</x:v>
      </x:c>
      <x:c r="E124" s="299" t="str">
        <x:v>Connectivity / Edge / IoT</x:v>
      </x:c>
      <x:c r="F124" s="299" t="str">
        <x:v>https://www.gartner.com/smarterwithgartner/5-trends-appear-on-the-gartner-hype-cycle-for-emerging-technologies-2019/</x:v>
      </x:c>
      <x:c r="G124" s="299" t="str">
        <x:v>Chart/list reconstructed from Gartner article/chart and public archival reproductions.</x:v>
      </x:c>
    </x:row>
    <x:row r="125">
      <x:c r="A125" s="300" t="n">
        <x:v>2019</x:v>
      </x:c>
      <x:c r="B125" s="299" t="str">
        <x:v>Low Earth Orbit Satellite Systems</x:v>
      </x:c>
      <x:c r="C125" s="300" t="str">
        <x:v>PE</x:v>
      </x:c>
      <x:c r="D125" s="299" t="str">
        <x:v>Peak of Inflated Expectations</x:v>
      </x:c>
      <x:c r="E125" s="299" t="str">
        <x:v>Business / Emerging Technology</x:v>
      </x:c>
      <x:c r="F125" s="299" t="str">
        <x:v>https://www.gartner.com/smarterwithgartner/5-trends-appear-on-the-gartner-hype-cycle-for-emerging-technologies-2019/</x:v>
      </x:c>
      <x:c r="G125" s="299" t="str">
        <x:v>Chart/list reconstructed from Gartner article/chart and public archival reproductions.</x:v>
      </x:c>
    </x:row>
    <x:row r="126">
      <x:c r="A126" s="300" t="n">
        <x:v>2019</x:v>
      </x:c>
      <x:c r="B126" s="299" t="str">
        <x:v>Edge Analytics</x:v>
      </x:c>
      <x:c r="C126" s="300" t="str">
        <x:v>PE</x:v>
      </x:c>
      <x:c r="D126" s="299" t="str">
        <x:v>Peak of Inflated Expectations</x:v>
      </x:c>
      <x:c r="E126" s="299" t="str">
        <x:v>Connectivity / Edge / IoT</x:v>
      </x:c>
      <x:c r="F126" s="299" t="str">
        <x:v>https://www.gartner.com/smarterwithgartner/5-trends-appear-on-the-gartner-hype-cycle-for-emerging-technologies-2019/</x:v>
      </x:c>
      <x:c r="G126" s="299" t="str">
        <x:v>Chart/list reconstructed from Gartner article/chart and public archival reproductions.</x:v>
      </x:c>
    </x:row>
    <x:row r="127">
      <x:c r="A127" s="300" t="n">
        <x:v>2019</x:v>
      </x:c>
      <x:c r="B127" s="299" t="str">
        <x:v>AI PaaS</x:v>
      </x:c>
      <x:c r="C127" s="300" t="str">
        <x:v>PE</x:v>
      </x:c>
      <x:c r="D127" s="299" t="str">
        <x:v>Peak of Inflated Expectations</x:v>
      </x:c>
      <x:c r="E127" s="299" t="str">
        <x:v>Cloud / Software Engineering</x:v>
      </x:c>
      <x:c r="F127" s="299" t="str">
        <x:v>https://www.gartner.com/smarterwithgartner/5-trends-appear-on-the-gartner-hype-cycle-for-emerging-technologies-2019/</x:v>
      </x:c>
      <x:c r="G127" s="299" t="str">
        <x:v>Chart/list reconstructed from Gartner article/chart and public archival reproductions.</x:v>
      </x:c>
    </x:row>
    <x:row r="128">
      <x:c r="A128" s="300" t="n">
        <x:v>2019</x:v>
      </x:c>
      <x:c r="B128" s="299" t="str">
        <x:v>Biochips</x:v>
      </x:c>
      <x:c r="C128" s="300" t="str">
        <x:v>PE</x:v>
      </x:c>
      <x:c r="D128" s="299" t="str">
        <x:v>Peak of Inflated Expectations</x:v>
      </x:c>
      <x:c r="E128" s="299" t="str">
        <x:v>Materials / Bio / Physical</x:v>
      </x:c>
      <x:c r="F128" s="299" t="str">
        <x:v>https://www.gartner.com/smarterwithgartner/5-trends-appear-on-the-gartner-hype-cycle-for-emerging-technologies-2019/</x:v>
      </x:c>
      <x:c r="G128" s="299" t="str">
        <x:v>Chart/list reconstructed from Gartner article/chart and public archival reproductions.</x:v>
      </x:c>
    </x:row>
    <x:row r="129">
      <x:c r="A129" s="300" t="n">
        <x:v>2019</x:v>
      </x:c>
      <x:c r="B129" s="299" t="str">
        <x:v>5G</x:v>
      </x:c>
      <x:c r="C129" s="300" t="str">
        <x:v>PE</x:v>
      </x:c>
      <x:c r="D129" s="299" t="str">
        <x:v>Peak of Inflated Expectations</x:v>
      </x:c>
      <x:c r="E129" s="299" t="str">
        <x:v>Connectivity / Edge / IoT</x:v>
      </x:c>
      <x:c r="F129" s="299" t="str">
        <x:v>https://www.gartner.com/smarterwithgartner/5-trends-appear-on-the-gartner-hype-cycle-for-emerging-technologies-2019/</x:v>
      </x:c>
      <x:c r="G129" s="299" t="str">
        <x:v>Chart/list reconstructed from Gartner article/chart and public archival reproductions.</x:v>
      </x:c>
    </x:row>
    <x:row r="130">
      <x:c r="A130" s="300" t="n">
        <x:v>2019</x:v>
      </x:c>
      <x:c r="B130" s="299" t="str">
        <x:v>Graph Analytics</x:v>
      </x:c>
      <x:c r="C130" s="300" t="str">
        <x:v>PE</x:v>
      </x:c>
      <x:c r="D130" s="299" t="str">
        <x:v>Peak of Inflated Expectations</x:v>
      </x:c>
      <x:c r="E130" s="299" t="str">
        <x:v>Business / Emerging Technology</x:v>
      </x:c>
      <x:c r="F130" s="299" t="str">
        <x:v>https://www.gartner.com/smarterwithgartner/5-trends-appear-on-the-gartner-hype-cycle-for-emerging-technologies-2019/</x:v>
      </x:c>
      <x:c r="G130" s="299" t="str">
        <x:v>Chart/list reconstructed from Gartner article/chart and public archival reproductions.</x:v>
      </x:c>
    </x:row>
    <x:row r="131">
      <x:c r="A131" s="300" t="n">
        <x:v>2019</x:v>
      </x:c>
      <x:c r="B131" s="299" t="str">
        <x:v>Autonomous Driving Level 5</x:v>
      </x:c>
      <x:c r="C131" s="300" t="str">
        <x:v>PE</x:v>
      </x:c>
      <x:c r="D131" s="299" t="str">
        <x:v>Peak of Inflated Expectations</x:v>
      </x:c>
      <x:c r="E131" s="299" t="str">
        <x:v>Autonomy / Robotics</x:v>
      </x:c>
      <x:c r="F131" s="299" t="str">
        <x:v>https://www.gartner.com/smarterwithgartner/5-trends-appear-on-the-gartner-hype-cycle-for-emerging-technologies-2019/</x:v>
      </x:c>
      <x:c r="G131" s="299" t="str">
        <x:v>Chart/list reconstructed from Gartner article/chart and public archival reproductions.</x:v>
      </x:c>
    </x:row>
    <x:row r="132">
      <x:c r="A132" s="300" t="n">
        <x:v>2019</x:v>
      </x:c>
      <x:c r="B132" s="299" t="str">
        <x:v>Next-Generation Memory</x:v>
      </x:c>
      <x:c r="C132" s="300" t="str">
        <x:v>TD</x:v>
      </x:c>
      <x:c r="D132" s="299" t="str">
        <x:v>Trough of Disillusionment</x:v>
      </x:c>
      <x:c r="E132" s="299" t="str">
        <x:v>Advanced Computing</x:v>
      </x:c>
      <x:c r="F132" s="299" t="str">
        <x:v>https://www.gartner.com/smarterwithgartner/5-trends-appear-on-the-gartner-hype-cycle-for-emerging-technologies-2019/</x:v>
      </x:c>
      <x:c r="G132" s="299" t="str">
        <x:v>Chart/list reconstructed from Gartner article/chart and public archival reproductions.</x:v>
      </x:c>
    </x:row>
    <x:row r="133">
      <x:c r="A133" s="300" t="n">
        <x:v>2019</x:v>
      </x:c>
      <x:c r="B133" s="299" t="str">
        <x:v>3D Sensing Cameras</x:v>
      </x:c>
      <x:c r="C133" s="300" t="str">
        <x:v>TD</x:v>
      </x:c>
      <x:c r="D133" s="299" t="str">
        <x:v>Trough of Disillusionment</x:v>
      </x:c>
      <x:c r="E133" s="299" t="str">
        <x:v>Business / Emerging Technology</x:v>
      </x:c>
      <x:c r="F133" s="299" t="str">
        <x:v>https://www.gartner.com/smarterwithgartner/5-trends-appear-on-the-gartner-hype-cycle-for-emerging-technologies-2019/</x:v>
      </x:c>
      <x:c r="G133" s="299" t="str">
        <x:v>Chart/list reconstructed from Gartner article/chart and public archival reproductions.</x:v>
      </x:c>
    </x:row>
    <x:row r="134">
      <x:c r="A134" s="300" t="n">
        <x:v>2019</x:v>
      </x:c>
      <x:c r="B134" s="299" t="str">
        <x:v>Autonomous Driving Level 4</x:v>
      </x:c>
      <x:c r="C134" s="300" t="str">
        <x:v>TD</x:v>
      </x:c>
      <x:c r="D134" s="299" t="str">
        <x:v>Trough of Disillusionment</x:v>
      </x:c>
      <x:c r="E134" s="299" t="str">
        <x:v>Autonomy / Robotics</x:v>
      </x:c>
      <x:c r="F134" s="299" t="str">
        <x:v>https://www.gartner.com/smarterwithgartner/5-trends-appear-on-the-gartner-hype-cycle-for-emerging-technologies-2019/</x:v>
      </x:c>
      <x:c r="G134" s="299" t="str">
        <x:v>Chart/list reconstructed from Gartner article/chart and public archival reproductions.</x:v>
      </x:c>
    </x:row>
    <x:row r="135">
      <x:c r="A135" s="300" t="n">
        <x:v>2020</x:v>
      </x:c>
      <x:c r="B135" s="299" t="str">
        <x:v>Authenticated Provenance</x:v>
      </x:c>
      <x:c r="C135" s="300" t="str">
        <x:v>IT</x:v>
      </x:c>
      <x:c r="D135" s="299" t="str">
        <x:v>Innovation Trigger</x:v>
      </x:c>
      <x:c r="E135" s="299" t="str">
        <x:v>Security / Privacy</x:v>
      </x:c>
      <x:c r="F135" s="299" t="str">
        <x:v>https://www.gartner.com/en/newsroom/press-releases/2020-08-18-gartner-identifies-five-emerging-trends-that-will-drive-technology-innovation-for-the-next-decade</x:v>
      </x:c>
      <x:c r="G135" s="299" t="str">
        <x:v>Gartner report/article plus public chart/report copy used to reconstruct exact placements.</x:v>
      </x:c>
    </x:row>
    <x:row r="136">
      <x:c r="A136" s="300" t="n">
        <x:v>2020</x:v>
      </x:c>
      <x:c r="B136" s="299" t="str">
        <x:v>AI-Augmented Design</x:v>
      </x:c>
      <x:c r="C136" s="300" t="str">
        <x:v>IT</x:v>
      </x:c>
      <x:c r="D136" s="299" t="str">
        <x:v>Innovation Trigger</x:v>
      </x:c>
      <x:c r="E136" s="299" t="str">
        <x:v>AI / Data / Analytics</x:v>
      </x:c>
      <x:c r="F136" s="299" t="str">
        <x:v>https://www.gartner.com/en/newsroom/press-releases/2020-08-18-gartner-identifies-five-emerging-trends-that-will-drive-technology-innovation-for-the-next-decade</x:v>
      </x:c>
      <x:c r="G136" s="299" t="str">
        <x:v>Gartner report/article plus public chart/report copy used to reconstruct exact placements.</x:v>
      </x:c>
    </x:row>
    <x:row r="137">
      <x:c r="A137" s="300" t="n">
        <x:v>2020</x:v>
      </x:c>
      <x:c r="B137" s="299" t="str">
        <x:v>DNA Computing and Storage</x:v>
      </x:c>
      <x:c r="C137" s="300" t="str">
        <x:v>IT</x:v>
      </x:c>
      <x:c r="D137" s="299" t="str">
        <x:v>Innovation Trigger</x:v>
      </x:c>
      <x:c r="E137" s="299" t="str">
        <x:v>Business / Emerging Technology</x:v>
      </x:c>
      <x:c r="F137" s="299" t="str">
        <x:v>https://www.gartner.com/en/newsroom/press-releases/2020-08-18-gartner-identifies-five-emerging-trends-that-will-drive-technology-innovation-for-the-next-decade</x:v>
      </x:c>
      <x:c r="G137" s="299" t="str">
        <x:v>Gartner report/article plus public chart/report copy used to reconstruct exact placements.</x:v>
      </x:c>
    </x:row>
    <x:row r="138">
      <x:c r="A138" s="300" t="n">
        <x:v>2020</x:v>
      </x:c>
      <x:c r="B138" s="299" t="str">
        <x:v>Low-Cost Single-Board Computers at the Edge</x:v>
      </x:c>
      <x:c r="C138" s="300" t="str">
        <x:v>IT</x:v>
      </x:c>
      <x:c r="D138" s="299" t="str">
        <x:v>Innovation Trigger</x:v>
      </x:c>
      <x:c r="E138" s="299" t="str">
        <x:v>Connectivity / Edge / IoT</x:v>
      </x:c>
      <x:c r="F138" s="299" t="str">
        <x:v>https://www.gartner.com/en/newsroom/press-releases/2020-08-18-gartner-identifies-five-emerging-trends-that-will-drive-technology-innovation-for-the-next-decade</x:v>
      </x:c>
      <x:c r="G138" s="299" t="str">
        <x:v>Gartner report/article plus public chart/report copy used to reconstruct exact placements.</x:v>
      </x:c>
    </x:row>
    <x:row r="139">
      <x:c r="A139" s="300" t="n">
        <x:v>2020</x:v>
      </x:c>
      <x:c r="B139" s="299" t="str">
        <x:v>Self-Supervised Learning</x:v>
      </x:c>
      <x:c r="C139" s="300" t="str">
        <x:v>IT</x:v>
      </x:c>
      <x:c r="D139" s="299" t="str">
        <x:v>Innovation Trigger</x:v>
      </x:c>
      <x:c r="E139" s="299" t="str">
        <x:v>Business / Emerging Technology</x:v>
      </x:c>
      <x:c r="F139" s="299" t="str">
        <x:v>https://www.gartner.com/en/newsroom/press-releases/2020-08-18-gartner-identifies-five-emerging-trends-that-will-drive-technology-innovation-for-the-next-decade</x:v>
      </x:c>
      <x:c r="G139" s="299" t="str">
        <x:v>Gartner report/article plus public chart/report copy used to reconstruct exact placements.</x:v>
      </x:c>
    </x:row>
    <x:row r="140">
      <x:c r="A140" s="300" t="n">
        <x:v>2020</x:v>
      </x:c>
      <x:c r="B140" s="299" t="str">
        <x:v>Health Passport</x:v>
      </x:c>
      <x:c r="C140" s="300" t="str">
        <x:v>IT</x:v>
      </x:c>
      <x:c r="D140" s="299" t="str">
        <x:v>Innovation Trigger</x:v>
      </x:c>
      <x:c r="E140" s="299" t="str">
        <x:v>Business / Emerging Technology</x:v>
      </x:c>
      <x:c r="F140" s="299" t="str">
        <x:v>https://www.gartner.com/en/newsroom/press-releases/2020-08-18-gartner-identifies-five-emerging-trends-that-will-drive-technology-innovation-for-the-next-decade</x:v>
      </x:c>
      <x:c r="G140" s="299" t="str">
        <x:v>Gartner report/article plus public chart/report copy used to reconstruct exact placements.</x:v>
      </x:c>
    </x:row>
    <x:row r="141">
      <x:c r="A141" s="300" t="n">
        <x:v>2020</x:v>
      </x:c>
      <x:c r="B141" s="299" t="str">
        <x:v>Bidirectional Brain-Machine Interface</x:v>
      </x:c>
      <x:c r="C141" s="300" t="str">
        <x:v>IT</x:v>
      </x:c>
      <x:c r="D141" s="299" t="str">
        <x:v>Innovation Trigger</x:v>
      </x:c>
      <x:c r="E141" s="299" t="str">
        <x:v>Human Augmentation / Future of Work</x:v>
      </x:c>
      <x:c r="F141" s="299" t="str">
        <x:v>https://www.gartner.com/en/newsroom/press-releases/2020-08-18-gartner-identifies-five-emerging-trends-that-will-drive-technology-innovation-for-the-next-decade</x:v>
      </x:c>
      <x:c r="G141" s="299" t="str">
        <x:v>Gartner report/article plus public chart/report copy used to reconstruct exact placements.</x:v>
      </x:c>
    </x:row>
    <x:row r="142">
      <x:c r="A142" s="300" t="n">
        <x:v>2020</x:v>
      </x:c>
      <x:c r="B142" s="299" t="str">
        <x:v>Generative Adversarial Networks</x:v>
      </x:c>
      <x:c r="C142" s="300" t="str">
        <x:v>IT</x:v>
      </x:c>
      <x:c r="D142" s="299" t="str">
        <x:v>Innovation Trigger</x:v>
      </x:c>
      <x:c r="E142" s="299" t="str">
        <x:v>Connectivity / Edge / IoT</x:v>
      </x:c>
      <x:c r="F142" s="299" t="str">
        <x:v>https://www.gartner.com/en/newsroom/press-releases/2020-08-18-gartner-identifies-five-emerging-trends-that-will-drive-technology-innovation-for-the-next-decade</x:v>
      </x:c>
      <x:c r="G142" s="299" t="str">
        <x:v>Gartner report/article plus public chart/report copy used to reconstruct exact placements.</x:v>
      </x:c>
    </x:row>
    <x:row r="143">
      <x:c r="A143" s="300" t="n">
        <x:v>2020</x:v>
      </x:c>
      <x:c r="B143" s="299" t="str">
        <x:v>Biodegradable Sensors</x:v>
      </x:c>
      <x:c r="C143" s="300" t="str">
        <x:v>IT</x:v>
      </x:c>
      <x:c r="D143" s="299" t="str">
        <x:v>Innovation Trigger</x:v>
      </x:c>
      <x:c r="E143" s="299" t="str">
        <x:v>Materials / Bio / Physical</x:v>
      </x:c>
      <x:c r="F143" s="299" t="str">
        <x:v>https://www.gartner.com/en/newsroom/press-releases/2020-08-18-gartner-identifies-five-emerging-trends-that-will-drive-technology-innovation-for-the-next-decade</x:v>
      </x:c>
      <x:c r="G143" s="299" t="str">
        <x:v>Gartner report/article plus public chart/report copy used to reconstruct exact placements.</x:v>
      </x:c>
    </x:row>
    <x:row r="144">
      <x:c r="A144" s="300" t="n">
        <x:v>2020</x:v>
      </x:c>
      <x:c r="B144" s="299" t="str">
        <x:v>Differential Privacy</x:v>
      </x:c>
      <x:c r="C144" s="300" t="str">
        <x:v>IT</x:v>
      </x:c>
      <x:c r="D144" s="299" t="str">
        <x:v>Innovation Trigger</x:v>
      </x:c>
      <x:c r="E144" s="299" t="str">
        <x:v>Security / Privacy</x:v>
      </x:c>
      <x:c r="F144" s="299" t="str">
        <x:v>https://www.gartner.com/en/newsroom/press-releases/2020-08-18-gartner-identifies-five-emerging-trends-that-will-drive-technology-innovation-for-the-next-decade</x:v>
      </x:c>
      <x:c r="G144" s="299" t="str">
        <x:v>Gartner report/article plus public chart/report copy used to reconstruct exact placements.</x:v>
      </x:c>
    </x:row>
    <x:row r="145">
      <x:c r="A145" s="300" t="n">
        <x:v>2020</x:v>
      </x:c>
      <x:c r="B145" s="299" t="str">
        <x:v>Private 5G</x:v>
      </x:c>
      <x:c r="C145" s="300" t="str">
        <x:v>IT</x:v>
      </x:c>
      <x:c r="D145" s="299" t="str">
        <x:v>Innovation Trigger</x:v>
      </x:c>
      <x:c r="E145" s="299" t="str">
        <x:v>Connectivity / Edge / IoT</x:v>
      </x:c>
      <x:c r="F145" s="299" t="str">
        <x:v>https://www.gartner.com/en/newsroom/press-releases/2020-08-18-gartner-identifies-five-emerging-trends-that-will-drive-technology-innovation-for-the-next-decade</x:v>
      </x:c>
      <x:c r="G145" s="299" t="str">
        <x:v>Gartner report/article plus public chart/report copy used to reconstruct exact placements.</x:v>
      </x:c>
    </x:row>
    <x:row r="146">
      <x:c r="A146" s="300" t="n">
        <x:v>2020</x:v>
      </x:c>
      <x:c r="B146" s="299" t="str">
        <x:v>Small Data</x:v>
      </x:c>
      <x:c r="C146" s="300" t="str">
        <x:v>IT</x:v>
      </x:c>
      <x:c r="D146" s="299" t="str">
        <x:v>Innovation Trigger</x:v>
      </x:c>
      <x:c r="E146" s="299" t="str">
        <x:v>Business / Emerging Technology</x:v>
      </x:c>
      <x:c r="F146" s="299" t="str">
        <x:v>https://www.gartner.com/en/newsroom/press-releases/2020-08-18-gartner-identifies-five-emerging-trends-that-will-drive-technology-innovation-for-the-next-decade</x:v>
      </x:c>
      <x:c r="G146" s="299" t="str">
        <x:v>Gartner report/article plus public chart/report copy used to reconstruct exact placements.</x:v>
      </x:c>
    </x:row>
    <x:row r="147">
      <x:c r="A147" s="300" t="n">
        <x:v>2020</x:v>
      </x:c>
      <x:c r="B147" s="299" t="str">
        <x:v>Adaptive ML</x:v>
      </x:c>
      <x:c r="C147" s="300" t="str">
        <x:v>IT</x:v>
      </x:c>
      <x:c r="D147" s="299" t="str">
        <x:v>Innovation Trigger</x:v>
      </x:c>
      <x:c r="E147" s="299" t="str">
        <x:v>Business / Emerging Technology</x:v>
      </x:c>
      <x:c r="F147" s="299" t="str">
        <x:v>https://www.gartner.com/en/newsroom/press-releases/2020-08-18-gartner-identifies-five-emerging-trends-that-will-drive-technology-innovation-for-the-next-decade</x:v>
      </x:c>
      <x:c r="G147" s="299" t="str">
        <x:v>Gartner report/article plus public chart/report copy used to reconstruct exact placements.</x:v>
      </x:c>
    </x:row>
    <x:row r="148">
      <x:c r="A148" s="300" t="n">
        <x:v>2020</x:v>
      </x:c>
      <x:c r="B148" s="299" t="str">
        <x:v>Composite AI</x:v>
      </x:c>
      <x:c r="C148" s="300" t="str">
        <x:v>IT</x:v>
      </x:c>
      <x:c r="D148" s="299" t="str">
        <x:v>Innovation Trigger</x:v>
      </x:c>
      <x:c r="E148" s="299" t="str">
        <x:v>AI / Data / Analytics</x:v>
      </x:c>
      <x:c r="F148" s="299" t="str">
        <x:v>https://www.gartner.com/en/newsroom/press-releases/2020-08-18-gartner-identifies-five-emerging-trends-that-will-drive-technology-innovation-for-the-next-decade</x:v>
      </x:c>
      <x:c r="G148" s="299" t="str">
        <x:v>Gartner report/article plus public chart/report copy used to reconstruct exact placements.</x:v>
      </x:c>
    </x:row>
    <x:row r="149">
      <x:c r="A149" s="300" t="n">
        <x:v>2020</x:v>
      </x:c>
      <x:c r="B149" s="299" t="str">
        <x:v>Generative AI</x:v>
      </x:c>
      <x:c r="C149" s="300" t="str">
        <x:v>IT</x:v>
      </x:c>
      <x:c r="D149" s="299" t="str">
        <x:v>Innovation Trigger</x:v>
      </x:c>
      <x:c r="E149" s="299" t="str">
        <x:v>AI / Data / Analytics</x:v>
      </x:c>
      <x:c r="F149" s="299" t="str">
        <x:v>https://www.gartner.com/en/newsroom/press-releases/2020-08-18-gartner-identifies-five-emerging-trends-that-will-drive-technology-innovation-for-the-next-decade</x:v>
      </x:c>
      <x:c r="G149" s="299" t="str">
        <x:v>Gartner report/article plus public chart/report copy used to reconstruct exact placements.</x:v>
      </x:c>
    </x:row>
    <x:row r="150">
      <x:c r="A150" s="300" t="n">
        <x:v>2020</x:v>
      </x:c>
      <x:c r="B150" s="299" t="str">
        <x:v>Packaged Business Capabilities</x:v>
      </x:c>
      <x:c r="C150" s="300" t="str">
        <x:v>IT</x:v>
      </x:c>
      <x:c r="D150" s="299" t="str">
        <x:v>Innovation Trigger</x:v>
      </x:c>
      <x:c r="E150" s="299" t="str">
        <x:v>Business / Emerging Technology</x:v>
      </x:c>
      <x:c r="F150" s="299" t="str">
        <x:v>https://www.gartner.com/en/newsroom/press-releases/2020-08-18-gartner-identifies-five-emerging-trends-that-will-drive-technology-innovation-for-the-next-decade</x:v>
      </x:c>
      <x:c r="G150" s="299" t="str">
        <x:v>Gartner report/article plus public chart/report copy used to reconstruct exact placements.</x:v>
      </x:c>
    </x:row>
    <x:row r="151">
      <x:c r="A151" s="300" t="n">
        <x:v>2020</x:v>
      </x:c>
      <x:c r="B151" s="299" t="str">
        <x:v>Citizen Twin</x:v>
      </x:c>
      <x:c r="C151" s="300" t="str">
        <x:v>IT</x:v>
      </x:c>
      <x:c r="D151" s="299" t="str">
        <x:v>Innovation Trigger</x:v>
      </x:c>
      <x:c r="E151" s="299" t="str">
        <x:v>Business / Emerging Technology</x:v>
      </x:c>
      <x:c r="F151" s="299" t="str">
        <x:v>https://www.gartner.com/en/newsroom/press-releases/2020-08-18-gartner-identifies-five-emerging-trends-that-will-drive-technology-innovation-for-the-next-decade</x:v>
      </x:c>
      <x:c r="G151" s="299" t="str">
        <x:v>Gartner report/article plus public chart/report copy used to reconstruct exact placements.</x:v>
      </x:c>
    </x:row>
    <x:row r="152">
      <x:c r="A152" s="300" t="n">
        <x:v>2020</x:v>
      </x:c>
      <x:c r="B152" s="299" t="str">
        <x:v>Digital Twin of the Person</x:v>
      </x:c>
      <x:c r="C152" s="300" t="str">
        <x:v>IT</x:v>
      </x:c>
      <x:c r="D152" s="299" t="str">
        <x:v>Innovation Trigger</x:v>
      </x:c>
      <x:c r="E152" s="299" t="str">
        <x:v>Business / Emerging Technology</x:v>
      </x:c>
      <x:c r="F152" s="299" t="str">
        <x:v>https://www.gartner.com/en/newsroom/press-releases/2020-08-18-gartner-identifies-five-emerging-trends-that-will-drive-technology-innovation-for-the-next-decade</x:v>
      </x:c>
      <x:c r="G152" s="299" t="str">
        <x:v>Gartner report/article plus public chart/report copy used to reconstruct exact placements.</x:v>
      </x:c>
    </x:row>
    <x:row r="153">
      <x:c r="A153" s="300" t="n">
        <x:v>2020</x:v>
      </x:c>
      <x:c r="B153" s="299" t="str">
        <x:v>Multiexperience</x:v>
      </x:c>
      <x:c r="C153" s="300" t="str">
        <x:v>IT</x:v>
      </x:c>
      <x:c r="D153" s="299" t="str">
        <x:v>Innovation Trigger</x:v>
      </x:c>
      <x:c r="E153" s="299" t="str">
        <x:v>Experience / Spatial Computing</x:v>
      </x:c>
      <x:c r="F153" s="299" t="str">
        <x:v>https://www.gartner.com/en/newsroom/press-releases/2020-08-18-gartner-identifies-five-emerging-trends-that-will-drive-technology-innovation-for-the-next-decade</x:v>
      </x:c>
      <x:c r="G153" s="299" t="str">
        <x:v>Gartner report/article plus public chart/report copy used to reconstruct exact placements.</x:v>
      </x:c>
    </x:row>
    <x:row r="154">
      <x:c r="A154" s="300" t="n">
        <x:v>2020</x:v>
      </x:c>
      <x:c r="B154" s="299" t="str">
        <x:v>Responsible AI</x:v>
      </x:c>
      <x:c r="C154" s="300" t="str">
        <x:v>IT</x:v>
      </x:c>
      <x:c r="D154" s="299" t="str">
        <x:v>Innovation Trigger</x:v>
      </x:c>
      <x:c r="E154" s="299" t="str">
        <x:v>AI / Data / Analytics</x:v>
      </x:c>
      <x:c r="F154" s="299" t="str">
        <x:v>https://www.gartner.com/en/newsroom/press-releases/2020-08-18-gartner-identifies-five-emerging-trends-that-will-drive-technology-innovation-for-the-next-decade</x:v>
      </x:c>
      <x:c r="G154" s="299" t="str">
        <x:v>Gartner report/article plus public chart/report copy used to reconstruct exact placements.</x:v>
      </x:c>
    </x:row>
    <x:row r="155">
      <x:c r="A155" s="300" t="n">
        <x:v>2020</x:v>
      </x:c>
      <x:c r="B155" s="299" t="str">
        <x:v>AI-Augmented Development</x:v>
      </x:c>
      <x:c r="C155" s="300" t="str">
        <x:v>IT</x:v>
      </x:c>
      <x:c r="D155" s="299" t="str">
        <x:v>Innovation Trigger</x:v>
      </x:c>
      <x:c r="E155" s="299" t="str">
        <x:v>AI / Data / Analytics</x:v>
      </x:c>
      <x:c r="F155" s="299" t="str">
        <x:v>https://www.gartner.com/en/newsroom/press-releases/2020-08-18-gartner-identifies-five-emerging-trends-that-will-drive-technology-innovation-for-the-next-decade</x:v>
      </x:c>
      <x:c r="G155" s="299" t="str">
        <x:v>Gartner report/article plus public chart/report copy used to reconstruct exact placements.</x:v>
      </x:c>
    </x:row>
    <x:row r="156">
      <x:c r="A156" s="300" t="n">
        <x:v>2020</x:v>
      </x:c>
      <x:c r="B156" s="299" t="str">
        <x:v>Composable Enterprise</x:v>
      </x:c>
      <x:c r="C156" s="300" t="str">
        <x:v>IT</x:v>
      </x:c>
      <x:c r="D156" s="299" t="str">
        <x:v>Innovation Trigger</x:v>
      </x:c>
      <x:c r="E156" s="299" t="str">
        <x:v>Cloud / Software Engineering</x:v>
      </x:c>
      <x:c r="F156" s="299" t="str">
        <x:v>https://www.gartner.com/en/newsroom/press-releases/2020-08-18-gartner-identifies-five-emerging-trends-that-will-drive-technology-innovation-for-the-next-decade</x:v>
      </x:c>
      <x:c r="G156" s="299" t="str">
        <x:v>Gartner report/article plus public chart/report copy used to reconstruct exact placements.</x:v>
      </x:c>
    </x:row>
    <x:row r="157">
      <x:c r="A157" s="300" t="n">
        <x:v>2020</x:v>
      </x:c>
      <x:c r="B157" s="299" t="str">
        <x:v>Data Fabric</x:v>
      </x:c>
      <x:c r="C157" s="300" t="str">
        <x:v>PE</x:v>
      </x:c>
      <x:c r="D157" s="299" t="str">
        <x:v>Peak of Inflated Expectations</x:v>
      </x:c>
      <x:c r="E157" s="299" t="str">
        <x:v>AI / Data / Analytics</x:v>
      </x:c>
      <x:c r="F157" s="299" t="str">
        <x:v>https://www.gartner.com/en/newsroom/press-releases/2020-08-18-gartner-identifies-five-emerging-trends-that-will-drive-technology-innovation-for-the-next-decade</x:v>
      </x:c>
      <x:c r="G157" s="299" t="str">
        <x:v>Gartner report/article plus public chart/report copy used to reconstruct exact placements.</x:v>
      </x:c>
    </x:row>
    <x:row r="158">
      <x:c r="A158" s="300" t="n">
        <x:v>2020</x:v>
      </x:c>
      <x:c r="B158" s="299" t="str">
        <x:v>Embedded AI</x:v>
      </x:c>
      <x:c r="C158" s="300" t="str">
        <x:v>PE</x:v>
      </x:c>
      <x:c r="D158" s="299" t="str">
        <x:v>Peak of Inflated Expectations</x:v>
      </x:c>
      <x:c r="E158" s="299" t="str">
        <x:v>AI / Data / Analytics</x:v>
      </x:c>
      <x:c r="F158" s="299" t="str">
        <x:v>https://www.gartner.com/en/newsroom/press-releases/2020-08-18-gartner-identifies-five-emerging-trends-that-will-drive-technology-innovation-for-the-next-decade</x:v>
      </x:c>
      <x:c r="G158" s="299" t="str">
        <x:v>Gartner report/article plus public chart/report copy used to reconstruct exact placements.</x:v>
      </x:c>
    </x:row>
    <x:row r="159">
      <x:c r="A159" s="300" t="n">
        <x:v>2020</x:v>
      </x:c>
      <x:c r="B159" s="299" t="str">
        <x:v>Secure Access Service Edge (SASE)</x:v>
      </x:c>
      <x:c r="C159" s="300" t="str">
        <x:v>PE</x:v>
      </x:c>
      <x:c r="D159" s="299" t="str">
        <x:v>Peak of Inflated Expectations</x:v>
      </x:c>
      <x:c r="E159" s="299" t="str">
        <x:v>Connectivity / Edge / IoT</x:v>
      </x:c>
      <x:c r="F159" s="299" t="str">
        <x:v>https://www.gartner.com/en/newsroom/press-releases/2020-08-18-gartner-identifies-five-emerging-trends-that-will-drive-technology-innovation-for-the-next-decade</x:v>
      </x:c>
      <x:c r="G159" s="299" t="str">
        <x:v>Gartner report/article plus public chart/report copy used to reconstruct exact placements.</x:v>
      </x:c>
    </x:row>
    <x:row r="160">
      <x:c r="A160" s="300" t="n">
        <x:v>2020</x:v>
      </x:c>
      <x:c r="B160" s="299" t="str">
        <x:v>Social Distancing Technologies</x:v>
      </x:c>
      <x:c r="C160" s="300" t="str">
        <x:v>PE</x:v>
      </x:c>
      <x:c r="D160" s="299" t="str">
        <x:v>Peak of Inflated Expectations</x:v>
      </x:c>
      <x:c r="E160" s="299" t="str">
        <x:v>Business / Emerging Technology</x:v>
      </x:c>
      <x:c r="F160" s="299" t="str">
        <x:v>https://www.gartner.com/en/newsroom/press-releases/2020-08-18-gartner-identifies-five-emerging-trends-that-will-drive-technology-innovation-for-the-next-decade</x:v>
      </x:c>
      <x:c r="G160" s="299" t="str">
        <x:v>Gartner report/article plus public chart/report copy used to reconstruct exact placements.</x:v>
      </x:c>
    </x:row>
    <x:row r="161">
      <x:c r="A161" s="300" t="n">
        <x:v>2020</x:v>
      </x:c>
      <x:c r="B161" s="299" t="str">
        <x:v>Explainable AI</x:v>
      </x:c>
      <x:c r="C161" s="300" t="str">
        <x:v>PE</x:v>
      </x:c>
      <x:c r="D161" s="299" t="str">
        <x:v>Peak of Inflated Expectations</x:v>
      </x:c>
      <x:c r="E161" s="299" t="str">
        <x:v>AI / Data / Analytics</x:v>
      </x:c>
      <x:c r="F161" s="299" t="str">
        <x:v>https://www.gartner.com/en/newsroom/press-releases/2020-08-18-gartner-identifies-five-emerging-trends-that-will-drive-technology-innovation-for-the-next-decade</x:v>
      </x:c>
      <x:c r="G161" s="299" t="str">
        <x:v>Gartner report/article plus public chart/report copy used to reconstruct exact placements.</x:v>
      </x:c>
    </x:row>
    <x:row r="162">
      <x:c r="A162" s="300" t="n">
        <x:v>2020</x:v>
      </x:c>
      <x:c r="B162" s="299" t="str">
        <x:v>Carbon-Based Transistors</x:v>
      </x:c>
      <x:c r="C162" s="300" t="str">
        <x:v>TD</x:v>
      </x:c>
      <x:c r="D162" s="299" t="str">
        <x:v>Trough of Disillusionment</x:v>
      </x:c>
      <x:c r="E162" s="299" t="str">
        <x:v>Business / Emerging Technology</x:v>
      </x:c>
      <x:c r="F162" s="299" t="str">
        <x:v>https://www.gartner.com/en/newsroom/press-releases/2020-08-18-gartner-identifies-five-emerging-trends-that-will-drive-technology-innovation-for-the-next-decade</x:v>
      </x:c>
      <x:c r="G162" s="299" t="str">
        <x:v>Gartner report/article plus public chart/report copy used to reconstruct exact placements.</x:v>
      </x:c>
    </x:row>
    <x:row r="163">
      <x:c r="A163" s="300" t="n">
        <x:v>2020</x:v>
      </x:c>
      <x:c r="B163" s="299" t="str">
        <x:v>Bring Your Own Identity</x:v>
      </x:c>
      <x:c r="C163" s="300" t="str">
        <x:v>TD</x:v>
      </x:c>
      <x:c r="D163" s="299" t="str">
        <x:v>Trough of Disillusionment</x:v>
      </x:c>
      <x:c r="E163" s="299" t="str">
        <x:v>Security / Privacy</x:v>
      </x:c>
      <x:c r="F163" s="299" t="str">
        <x:v>https://www.gartner.com/en/newsroom/press-releases/2020-08-18-gartner-identifies-five-emerging-trends-that-will-drive-technology-innovation-for-the-next-decade</x:v>
      </x:c>
      <x:c r="G163" s="299" t="str">
        <x:v>Gartner report/article plus public chart/report copy used to reconstruct exact placements.</x:v>
      </x:c>
    </x:row>
    <x:row r="164">
      <x:c r="A164" s="300" t="n">
        <x:v>2020</x:v>
      </x:c>
      <x:c r="B164" s="299" t="str">
        <x:v>Ontologies and Graphs</x:v>
      </x:c>
      <x:c r="C164" s="300" t="str">
        <x:v>TD</x:v>
      </x:c>
      <x:c r="D164" s="299" t="str">
        <x:v>Trough of Disillusionment</x:v>
      </x:c>
      <x:c r="E164" s="299" t="str">
        <x:v>Business / Emerging Technology</x:v>
      </x:c>
      <x:c r="F164" s="299" t="str">
        <x:v>https://www.gartner.com/en/newsroom/press-releases/2020-08-18-gartner-identifies-five-emerging-trends-that-will-drive-technology-innovation-for-the-next-decade</x:v>
      </x:c>
      <x:c r="G164" s="299" t="str">
        <x:v>Gartner report/article plus public chart/report copy used to reconstruct exact placements.</x:v>
      </x:c>
    </x:row>
    <x:row r="165">
      <x:c r="A165" s="300" t="n">
        <x:v>2021</x:v>
      </x:c>
      <x:c r="B165" s="299" t="str">
        <x:v>Quantum ML</x:v>
      </x:c>
      <x:c r="C165" s="300" t="str">
        <x:v>IT</x:v>
      </x:c>
      <x:c r="D165" s="299" t="str">
        <x:v>Innovation Trigger</x:v>
      </x:c>
      <x:c r="E165" s="299" t="str">
        <x:v>Advanced Computing</x:v>
      </x:c>
      <x:c r="F165" s="299" t="str">
        <x:v>https://www.gartner.com/smarterwithgartner/3-themes-surface-in-the-2021-hype-cycle-for-emerging-technologies</x:v>
      </x:c>
      <x:c r="G165" s="299" t="str">
        <x:v>Chart/list reconstructed from Gartner article/chart and public archival reproductions.</x:v>
      </x:c>
    </x:row>
    <x:row r="166">
      <x:c r="A166" s="300" t="n">
        <x:v>2021</x:v>
      </x:c>
      <x:c r="B166" s="299" t="str">
        <x:v>Digital Platform Conductor Tools</x:v>
      </x:c>
      <x:c r="C166" s="300" t="str">
        <x:v>IT</x:v>
      </x:c>
      <x:c r="D166" s="299" t="str">
        <x:v>Innovation Trigger</x:v>
      </x:c>
      <x:c r="E166" s="299" t="str">
        <x:v>Business / Emerging Technology</x:v>
      </x:c>
      <x:c r="F166" s="299" t="str">
        <x:v>https://www.gartner.com/smarterwithgartner/3-themes-surface-in-the-2021-hype-cycle-for-emerging-technologies</x:v>
      </x:c>
      <x:c r="G166" s="299" t="str">
        <x:v>Chart/list reconstructed from Gartner article/chart and public archival reproductions.</x:v>
      </x:c>
    </x:row>
    <x:row r="167">
      <x:c r="A167" s="300" t="n">
        <x:v>2021</x:v>
      </x:c>
      <x:c r="B167" s="299" t="str">
        <x:v>AI-Augmented Design</x:v>
      </x:c>
      <x:c r="C167" s="300" t="str">
        <x:v>IT</x:v>
      </x:c>
      <x:c r="D167" s="299" t="str">
        <x:v>Innovation Trigger</x:v>
      </x:c>
      <x:c r="E167" s="299" t="str">
        <x:v>AI / Data / Analytics</x:v>
      </x:c>
      <x:c r="F167" s="299" t="str">
        <x:v>https://www.gartner.com/smarterwithgartner/3-themes-surface-in-the-2021-hype-cycle-for-emerging-technologies</x:v>
      </x:c>
      <x:c r="G167" s="299" t="str">
        <x:v>Chart/list reconstructed from Gartner article/chart and public archival reproductions.</x:v>
      </x:c>
    </x:row>
    <x:row r="168">
      <x:c r="A168" s="300" t="n">
        <x:v>2021</x:v>
      </x:c>
      <x:c r="B168" s="299" t="str">
        <x:v>Influence Engineering</x:v>
      </x:c>
      <x:c r="C168" s="300" t="str">
        <x:v>IT</x:v>
      </x:c>
      <x:c r="D168" s="299" t="str">
        <x:v>Innovation Trigger</x:v>
      </x:c>
      <x:c r="E168" s="299" t="str">
        <x:v>Business / Emerging Technology</x:v>
      </x:c>
      <x:c r="F168" s="299" t="str">
        <x:v>https://www.gartner.com/smarterwithgartner/3-themes-surface-in-the-2021-hype-cycle-for-emerging-technologies</x:v>
      </x:c>
      <x:c r="G168" s="299" t="str">
        <x:v>Chart/list reconstructed from Gartner article/chart and public archival reproductions.</x:v>
      </x:c>
    </x:row>
    <x:row r="169">
      <x:c r="A169" s="300" t="n">
        <x:v>2021</x:v>
      </x:c>
      <x:c r="B169" s="299" t="str">
        <x:v>AI-Driven Innovation</x:v>
      </x:c>
      <x:c r="C169" s="300" t="str">
        <x:v>IT</x:v>
      </x:c>
      <x:c r="D169" s="299" t="str">
        <x:v>Innovation Trigger</x:v>
      </x:c>
      <x:c r="E169" s="299" t="str">
        <x:v>AI / Data / Analytics</x:v>
      </x:c>
      <x:c r="F169" s="299" t="str">
        <x:v>https://www.gartner.com/smarterwithgartner/3-themes-surface-in-the-2021-hype-cycle-for-emerging-technologies</x:v>
      </x:c>
      <x:c r="G169" s="299" t="str">
        <x:v>Chart/list reconstructed from Gartner article/chart and public archival reproductions.</x:v>
      </x:c>
    </x:row>
    <x:row r="170">
      <x:c r="A170" s="300" t="n">
        <x:v>2021</x:v>
      </x:c>
      <x:c r="B170" s="299" t="str">
        <x:v>Machine-Readable Legislation</x:v>
      </x:c>
      <x:c r="C170" s="300" t="str">
        <x:v>IT</x:v>
      </x:c>
      <x:c r="D170" s="299" t="str">
        <x:v>Innovation Trigger</x:v>
      </x:c>
      <x:c r="E170" s="299" t="str">
        <x:v>Business / Emerging Technology</x:v>
      </x:c>
      <x:c r="F170" s="299" t="str">
        <x:v>https://www.gartner.com/smarterwithgartner/3-themes-surface-in-the-2021-hype-cycle-for-emerging-technologies</x:v>
      </x:c>
      <x:c r="G170" s="299" t="str">
        <x:v>Chart/list reconstructed from Gartner article/chart and public archival reproductions.</x:v>
      </x:c>
    </x:row>
    <x:row r="171">
      <x:c r="A171" s="300" t="n">
        <x:v>2021</x:v>
      </x:c>
      <x:c r="B171" s="299" t="str">
        <x:v>Named Data Networking</x:v>
      </x:c>
      <x:c r="C171" s="300" t="str">
        <x:v>IT</x:v>
      </x:c>
      <x:c r="D171" s="299" t="str">
        <x:v>Innovation Trigger</x:v>
      </x:c>
      <x:c r="E171" s="299" t="str">
        <x:v>Connectivity / Edge / IoT</x:v>
      </x:c>
      <x:c r="F171" s="299" t="str">
        <x:v>https://www.gartner.com/smarterwithgartner/3-themes-surface-in-the-2021-hype-cycle-for-emerging-technologies</x:v>
      </x:c>
      <x:c r="G171" s="299" t="str">
        <x:v>Chart/list reconstructed from Gartner article/chart and public archival reproductions.</x:v>
      </x:c>
    </x:row>
    <x:row r="172">
      <x:c r="A172" s="300" t="n">
        <x:v>2021</x:v>
      </x:c>
      <x:c r="B172" s="299" t="str">
        <x:v>Physics-Informed AI</x:v>
      </x:c>
      <x:c r="C172" s="300" t="str">
        <x:v>IT</x:v>
      </x:c>
      <x:c r="D172" s="299" t="str">
        <x:v>Innovation Trigger</x:v>
      </x:c>
      <x:c r="E172" s="299" t="str">
        <x:v>AI / Data / Analytics</x:v>
      </x:c>
      <x:c r="F172" s="299" t="str">
        <x:v>https://www.gartner.com/smarterwithgartner/3-themes-surface-in-the-2021-hype-cycle-for-emerging-technologies</x:v>
      </x:c>
      <x:c r="G172" s="299" t="str">
        <x:v>Chart/list reconstructed from Gartner article/chart and public archival reproductions.</x:v>
      </x:c>
    </x:row>
    <x:row r="173">
      <x:c r="A173" s="300" t="n">
        <x:v>2021</x:v>
      </x:c>
      <x:c r="B173" s="299" t="str">
        <x:v>Sovereign Cloud</x:v>
      </x:c>
      <x:c r="C173" s="300" t="str">
        <x:v>IT</x:v>
      </x:c>
      <x:c r="D173" s="299" t="str">
        <x:v>Innovation Trigger</x:v>
      </x:c>
      <x:c r="E173" s="299" t="str">
        <x:v>Cloud / Software Engineering</x:v>
      </x:c>
      <x:c r="F173" s="299" t="str">
        <x:v>https://www.gartner.com/smarterwithgartner/3-themes-surface-in-the-2021-hype-cycle-for-emerging-technologies</x:v>
      </x:c>
      <x:c r="G173" s="299" t="str">
        <x:v>Chart/list reconstructed from Gartner article/chart and public archival reproductions.</x:v>
      </x:c>
    </x:row>
    <x:row r="174">
      <x:c r="A174" s="300" t="n">
        <x:v>2021</x:v>
      </x:c>
      <x:c r="B174" s="299" t="str">
        <x:v>Industry Clouds</x:v>
      </x:c>
      <x:c r="C174" s="300" t="str">
        <x:v>IT</x:v>
      </x:c>
      <x:c r="D174" s="299" t="str">
        <x:v>Innovation Trigger</x:v>
      </x:c>
      <x:c r="E174" s="299" t="str">
        <x:v>Cloud / Software Engineering</x:v>
      </x:c>
      <x:c r="F174" s="299" t="str">
        <x:v>https://www.gartner.com/smarterwithgartner/3-themes-surface-in-the-2021-hype-cycle-for-emerging-technologies</x:v>
      </x:c>
      <x:c r="G174" s="299" t="str">
        <x:v>Chart/list reconstructed from Gartner article/chart and public archival reproductions.</x:v>
      </x:c>
    </x:row>
    <x:row r="175">
      <x:c r="A175" s="300" t="n">
        <x:v>2021</x:v>
      </x:c>
      <x:c r="B175" s="299" t="str">
        <x:v>Homomorphic Encryption</x:v>
      </x:c>
      <x:c r="C175" s="300" t="str">
        <x:v>IT</x:v>
      </x:c>
      <x:c r="D175" s="299" t="str">
        <x:v>Innovation Trigger</x:v>
      </x:c>
      <x:c r="E175" s="299" t="str">
        <x:v>Security / Privacy</x:v>
      </x:c>
      <x:c r="F175" s="299" t="str">
        <x:v>https://www.gartner.com/smarterwithgartner/3-themes-surface-in-the-2021-hype-cycle-for-emerging-technologies</x:v>
      </x:c>
      <x:c r="G175" s="299" t="str">
        <x:v>Chart/list reconstructed from Gartner article/chart and public archival reproductions.</x:v>
      </x:c>
    </x:row>
    <x:row r="176">
      <x:c r="A176" s="300" t="n">
        <x:v>2021</x:v>
      </x:c>
      <x:c r="B176" s="299" t="str">
        <x:v>Self-Integrating Applications</x:v>
      </x:c>
      <x:c r="C176" s="300" t="str">
        <x:v>IT</x:v>
      </x:c>
      <x:c r="D176" s="299" t="str">
        <x:v>Innovation Trigger</x:v>
      </x:c>
      <x:c r="E176" s="299" t="str">
        <x:v>Business / Emerging Technology</x:v>
      </x:c>
      <x:c r="F176" s="299" t="str">
        <x:v>https://www.gartner.com/smarterwithgartner/3-themes-surface-in-the-2021-hype-cycle-for-emerging-technologies</x:v>
      </x:c>
      <x:c r="G176" s="299" t="str">
        <x:v>Chart/list reconstructed from Gartner article/chart and public archival reproductions.</x:v>
      </x:c>
    </x:row>
    <x:row r="177">
      <x:c r="A177" s="300" t="n">
        <x:v>2021</x:v>
      </x:c>
      <x:c r="B177" s="299" t="str">
        <x:v>Composable Networks</x:v>
      </x:c>
      <x:c r="C177" s="300" t="str">
        <x:v>IT</x:v>
      </x:c>
      <x:c r="D177" s="299" t="str">
        <x:v>Innovation Trigger</x:v>
      </x:c>
      <x:c r="E177" s="299" t="str">
        <x:v>Cloud / Software Engineering</x:v>
      </x:c>
      <x:c r="F177" s="299" t="str">
        <x:v>https://www.gartner.com/smarterwithgartner/3-themes-surface-in-the-2021-hype-cycle-for-emerging-technologies</x:v>
      </x:c>
      <x:c r="G177" s="299" t="str">
        <x:v>Chart/list reconstructed from Gartner article/chart and public archival reproductions.</x:v>
      </x:c>
    </x:row>
    <x:row r="178">
      <x:c r="A178" s="300" t="n">
        <x:v>2021</x:v>
      </x:c>
      <x:c r="B178" s="299" t="str">
        <x:v>Decentralized Finance</x:v>
      </x:c>
      <x:c r="C178" s="300" t="str">
        <x:v>IT</x:v>
      </x:c>
      <x:c r="D178" s="299" t="str">
        <x:v>Innovation Trigger</x:v>
      </x:c>
      <x:c r="E178" s="299" t="str">
        <x:v>Blockchain / Digital Assets</x:v>
      </x:c>
      <x:c r="F178" s="299" t="str">
        <x:v>https://www.gartner.com/smarterwithgartner/3-themes-surface-in-the-2021-hype-cycle-for-emerging-technologies</x:v>
      </x:c>
      <x:c r="G178" s="299" t="str">
        <x:v>Chart/list reconstructed from Gartner article/chart and public archival reproductions.</x:v>
      </x:c>
    </x:row>
    <x:row r="179">
      <x:c r="A179" s="300" t="n">
        <x:v>2021</x:v>
      </x:c>
      <x:c r="B179" s="299" t="str">
        <x:v>Real-Time Incident Center as a Service</x:v>
      </x:c>
      <x:c r="C179" s="300" t="str">
        <x:v>IT</x:v>
      </x:c>
      <x:c r="D179" s="299" t="str">
        <x:v>Innovation Trigger</x:v>
      </x:c>
      <x:c r="E179" s="299" t="str">
        <x:v>Business / Emerging Technology</x:v>
      </x:c>
      <x:c r="F179" s="299" t="str">
        <x:v>https://www.gartner.com/smarterwithgartner/3-themes-surface-in-the-2021-hype-cycle-for-emerging-technologies</x:v>
      </x:c>
      <x:c r="G179" s="299" t="str">
        <x:v>Chart/list reconstructed from Gartner article/chart and public archival reproductions.</x:v>
      </x:c>
    </x:row>
    <x:row r="180">
      <x:c r="A180" s="300" t="n">
        <x:v>2021</x:v>
      </x:c>
      <x:c r="B180" s="299" t="str">
        <x:v>Active Metadata Management</x:v>
      </x:c>
      <x:c r="C180" s="300" t="str">
        <x:v>IT</x:v>
      </x:c>
      <x:c r="D180" s="299" t="str">
        <x:v>Innovation Trigger</x:v>
      </x:c>
      <x:c r="E180" s="299" t="str">
        <x:v>Business / Emerging Technology</x:v>
      </x:c>
      <x:c r="F180" s="299" t="str">
        <x:v>https://www.gartner.com/smarterwithgartner/3-themes-surface-in-the-2021-hype-cycle-for-emerging-technologies</x:v>
      </x:c>
      <x:c r="G180" s="299" t="str">
        <x:v>Chart/list reconstructed from Gartner article/chart and public archival reproductions.</x:v>
      </x:c>
    </x:row>
    <x:row r="181">
      <x:c r="A181" s="300" t="n">
        <x:v>2021</x:v>
      </x:c>
      <x:c r="B181" s="299" t="str">
        <x:v>Digital Humans</x:v>
      </x:c>
      <x:c r="C181" s="300" t="str">
        <x:v>IT</x:v>
      </x:c>
      <x:c r="D181" s="299" t="str">
        <x:v>Innovation Trigger</x:v>
      </x:c>
      <x:c r="E181" s="299" t="str">
        <x:v>Human Augmentation / Future of Work</x:v>
      </x:c>
      <x:c r="F181" s="299" t="str">
        <x:v>https://www.gartner.com/smarterwithgartner/3-themes-surface-in-the-2021-hype-cycle-for-emerging-technologies</x:v>
      </x:c>
      <x:c r="G181" s="299" t="str">
        <x:v>Chart/list reconstructed from Gartner article/chart and public archival reproductions.</x:v>
      </x:c>
    </x:row>
    <x:row r="182">
      <x:c r="A182" s="300" t="n">
        <x:v>2021</x:v>
      </x:c>
      <x:c r="B182" s="299" t="str">
        <x:v>Multiexperience</x:v>
      </x:c>
      <x:c r="C182" s="300" t="str">
        <x:v>IT</x:v>
      </x:c>
      <x:c r="D182" s="299" t="str">
        <x:v>Innovation Trigger</x:v>
      </x:c>
      <x:c r="E182" s="299" t="str">
        <x:v>Experience / Spatial Computing</x:v>
      </x:c>
      <x:c r="F182" s="299" t="str">
        <x:v>https://www.gartner.com/smarterwithgartner/3-themes-surface-in-the-2021-hype-cycle-for-emerging-technologies</x:v>
      </x:c>
      <x:c r="G182" s="299" t="str">
        <x:v>Chart/list reconstructed from Gartner article/chart and public archival reproductions.</x:v>
      </x:c>
    </x:row>
    <x:row r="183">
      <x:c r="A183" s="300" t="n">
        <x:v>2021</x:v>
      </x:c>
      <x:c r="B183" s="299" t="str">
        <x:v>Generative AI</x:v>
      </x:c>
      <x:c r="C183" s="300" t="str">
        <x:v>IT</x:v>
      </x:c>
      <x:c r="D183" s="299" t="str">
        <x:v>Innovation Trigger</x:v>
      </x:c>
      <x:c r="E183" s="299" t="str">
        <x:v>AI / Data / Analytics</x:v>
      </x:c>
      <x:c r="F183" s="299" t="str">
        <x:v>https://www.gartner.com/smarterwithgartner/3-themes-surface-in-the-2021-hype-cycle-for-emerging-technologies</x:v>
      </x:c>
      <x:c r="G183" s="299" t="str">
        <x:v>Chart/list reconstructed from Gartner article/chart and public archival reproductions.</x:v>
      </x:c>
    </x:row>
    <x:row r="184">
      <x:c r="A184" s="300" t="n">
        <x:v>2021</x:v>
      </x:c>
      <x:c r="B184" s="299" t="str">
        <x:v>Composable Applications</x:v>
      </x:c>
      <x:c r="C184" s="300" t="str">
        <x:v>PE</x:v>
      </x:c>
      <x:c r="D184" s="299" t="str">
        <x:v>Peak of Inflated Expectations</x:v>
      </x:c>
      <x:c r="E184" s="299" t="str">
        <x:v>Cloud / Software Engineering</x:v>
      </x:c>
      <x:c r="F184" s="299" t="str">
        <x:v>https://www.gartner.com/smarterwithgartner/3-themes-surface-in-the-2021-hype-cycle-for-emerging-technologies</x:v>
      </x:c>
      <x:c r="G184" s="299" t="str">
        <x:v>Chart/list reconstructed from Gartner article/chart and public archival reproductions.</x:v>
      </x:c>
    </x:row>
    <x:row r="185">
      <x:c r="A185" s="300" t="n">
        <x:v>2021</x:v>
      </x:c>
      <x:c r="B185" s="299" t="str">
        <x:v>Employee Communications Applications</x:v>
      </x:c>
      <x:c r="C185" s="300" t="str">
        <x:v>PE</x:v>
      </x:c>
      <x:c r="D185" s="299" t="str">
        <x:v>Peak of Inflated Expectations</x:v>
      </x:c>
      <x:c r="E185" s="299" t="str">
        <x:v>Business / Emerging Technology</x:v>
      </x:c>
      <x:c r="F185" s="299" t="str">
        <x:v>https://www.gartner.com/smarterwithgartner/3-themes-surface-in-the-2021-hype-cycle-for-emerging-technologies</x:v>
      </x:c>
      <x:c r="G185" s="299" t="str">
        <x:v>Chart/list reconstructed from Gartner article/chart and public archival reproductions.</x:v>
      </x:c>
    </x:row>
    <x:row r="186">
      <x:c r="A186" s="300" t="n">
        <x:v>2021</x:v>
      </x:c>
      <x:c r="B186" s="299" t="str">
        <x:v>AI-Augmented Software Engineering</x:v>
      </x:c>
      <x:c r="C186" s="300" t="str">
        <x:v>PE</x:v>
      </x:c>
      <x:c r="D186" s="299" t="str">
        <x:v>Peak of Inflated Expectations</x:v>
      </x:c>
      <x:c r="E186" s="299" t="str">
        <x:v>Cloud / Software Engineering</x:v>
      </x:c>
      <x:c r="F186" s="299" t="str">
        <x:v>https://www.gartner.com/smarterwithgartner/3-themes-surface-in-the-2021-hype-cycle-for-emerging-technologies</x:v>
      </x:c>
      <x:c r="G186" s="299" t="str">
        <x:v>Chart/list reconstructed from Gartner article/chart and public archival reproductions.</x:v>
      </x:c>
    </x:row>
    <x:row r="187">
      <x:c r="A187" s="300" t="n">
        <x:v>2021</x:v>
      </x:c>
      <x:c r="B187" s="299" t="str">
        <x:v>Nonfungible Tokens (NFT)</x:v>
      </x:c>
      <x:c r="C187" s="300" t="str">
        <x:v>PE</x:v>
      </x:c>
      <x:c r="D187" s="299" t="str">
        <x:v>Peak of Inflated Expectations</x:v>
      </x:c>
      <x:c r="E187" s="299" t="str">
        <x:v>Blockchain / Digital Assets</x:v>
      </x:c>
      <x:c r="F187" s="299" t="str">
        <x:v>https://www.gartner.com/smarterwithgartner/3-themes-surface-in-the-2021-hype-cycle-for-emerging-technologies</x:v>
      </x:c>
      <x:c r="G187" s="299" t="str">
        <x:v>Chart/list reconstructed from Gartner article/chart and public archival reproductions.</x:v>
      </x:c>
    </x:row>
    <x:row r="188">
      <x:c r="A188" s="300" t="n">
        <x:v>2021</x:v>
      </x:c>
      <x:c r="B188" s="299" t="str">
        <x:v>Data Fabric</x:v>
      </x:c>
      <x:c r="C188" s="300" t="str">
        <x:v>PE</x:v>
      </x:c>
      <x:c r="D188" s="299" t="str">
        <x:v>Peak of Inflated Expectations</x:v>
      </x:c>
      <x:c r="E188" s="299" t="str">
        <x:v>AI / Data / Analytics</x:v>
      </x:c>
      <x:c r="F188" s="299" t="str">
        <x:v>https://www.gartner.com/smarterwithgartner/3-themes-surface-in-the-2021-hype-cycle-for-emerging-technologies</x:v>
      </x:c>
      <x:c r="G188" s="299" t="str">
        <x:v>Chart/list reconstructed from Gartner article/chart and public archival reproductions.</x:v>
      </x:c>
    </x:row>
    <x:row r="189">
      <x:c r="A189" s="300" t="n">
        <x:v>2021</x:v>
      </x:c>
      <x:c r="B189" s="299" t="str">
        <x:v>Decentralized Identity</x:v>
      </x:c>
      <x:c r="C189" s="300" t="str">
        <x:v>PE</x:v>
      </x:c>
      <x:c r="D189" s="299" t="str">
        <x:v>Peak of Inflated Expectations</x:v>
      </x:c>
      <x:c r="E189" s="299" t="str">
        <x:v>Blockchain / Digital Assets</x:v>
      </x:c>
      <x:c r="F189" s="299" t="str">
        <x:v>https://www.gartner.com/smarterwithgartner/3-themes-surface-in-the-2021-hype-cycle-for-emerging-technologies</x:v>
      </x:c>
      <x:c r="G189" s="299" t="str">
        <x:v>Chart/list reconstructed from Gartner article/chart and public archival reproductions.</x:v>
      </x:c>
    </x:row>
    <x:row r="190">
      <x:c r="A190" s="300" t="n">
        <x:v>2022</x:v>
      </x:c>
      <x:c r="B190" s="299" t="str">
        <x:v>Digital Humans</x:v>
      </x:c>
      <x:c r="C190" s="300" t="str">
        <x:v>IT</x:v>
      </x:c>
      <x:c r="D190" s="299" t="str">
        <x:v>Innovation Trigger</x:v>
      </x:c>
      <x:c r="E190" s="299" t="str">
        <x:v>Human Augmentation / Future of Work</x:v>
      </x:c>
      <x:c r="F190" s="299" t="str">
        <x:v>https://www.gartner.com/en/articles/what-s-new-in-the-2022-gartner-hype-cycle-for-emerging-technologies</x:v>
      </x:c>
      <x:c r="G190" s="299" t="str">
        <x:v>Gartner report/article plus public chart/report copy used to reconstruct exact placements.</x:v>
      </x:c>
    </x:row>
    <x:row r="191">
      <x:c r="A191" s="300" t="n">
        <x:v>2022</x:v>
      </x:c>
      <x:c r="B191" s="299" t="str">
        <x:v>Digital Twin of the Customer</x:v>
      </x:c>
      <x:c r="C191" s="300" t="str">
        <x:v>IT</x:v>
      </x:c>
      <x:c r="D191" s="299" t="str">
        <x:v>Innovation Trigger</x:v>
      </x:c>
      <x:c r="E191" s="299" t="str">
        <x:v>Business / Emerging Technology</x:v>
      </x:c>
      <x:c r="F191" s="299" t="str">
        <x:v>https://www.gartner.com/en/articles/what-s-new-in-the-2022-gartner-hype-cycle-for-emerging-technologies</x:v>
      </x:c>
      <x:c r="G191" s="299" t="str">
        <x:v>Gartner report/article plus public chart/report copy used to reconstruct exact placements.</x:v>
      </x:c>
    </x:row>
    <x:row r="192">
      <x:c r="A192" s="300" t="n">
        <x:v>2022</x:v>
      </x:c>
      <x:c r="B192" s="299" t="str">
        <x:v>Internal Talent Marketplaces</x:v>
      </x:c>
      <x:c r="C192" s="300" t="str">
        <x:v>IT</x:v>
      </x:c>
      <x:c r="D192" s="299" t="str">
        <x:v>Innovation Trigger</x:v>
      </x:c>
      <x:c r="E192" s="299" t="str">
        <x:v>Business / Emerging Technology</x:v>
      </x:c>
      <x:c r="F192" s="299" t="str">
        <x:v>https://www.gartner.com/en/articles/what-s-new-in-the-2022-gartner-hype-cycle-for-emerging-technologies</x:v>
      </x:c>
      <x:c r="G192" s="299" t="str">
        <x:v>Gartner report/article plus public chart/report copy used to reconstruct exact placements.</x:v>
      </x:c>
    </x:row>
    <x:row r="193">
      <x:c r="A193" s="300" t="n">
        <x:v>2022</x:v>
      </x:c>
      <x:c r="B193" s="299" t="str">
        <x:v>Metaverse</x:v>
      </x:c>
      <x:c r="C193" s="300" t="str">
        <x:v>IT</x:v>
      </x:c>
      <x:c r="D193" s="299" t="str">
        <x:v>Innovation Trigger</x:v>
      </x:c>
      <x:c r="E193" s="299" t="str">
        <x:v>Business / Emerging Technology</x:v>
      </x:c>
      <x:c r="F193" s="299" t="str">
        <x:v>https://www.gartner.com/en/articles/what-s-new-in-the-2022-gartner-hype-cycle-for-emerging-technologies</x:v>
      </x:c>
      <x:c r="G193" s="299" t="str">
        <x:v>Gartner report/article plus public chart/report copy used to reconstruct exact placements.</x:v>
      </x:c>
    </x:row>
    <x:row r="194">
      <x:c r="A194" s="300" t="n">
        <x:v>2022</x:v>
      </x:c>
      <x:c r="B194" s="299" t="str">
        <x:v>Superapps</x:v>
      </x:c>
      <x:c r="C194" s="300" t="str">
        <x:v>IT</x:v>
      </x:c>
      <x:c r="D194" s="299" t="str">
        <x:v>Innovation Trigger</x:v>
      </x:c>
      <x:c r="E194" s="299" t="str">
        <x:v>Business / Emerging Technology</x:v>
      </x:c>
      <x:c r="F194" s="299" t="str">
        <x:v>https://www.gartner.com/en/articles/what-s-new-in-the-2022-gartner-hype-cycle-for-emerging-technologies</x:v>
      </x:c>
      <x:c r="G194" s="299" t="str">
        <x:v>Gartner report/article plus public chart/report copy used to reconstruct exact placements.</x:v>
      </x:c>
    </x:row>
    <x:row r="195">
      <x:c r="A195" s="300" t="n">
        <x:v>2022</x:v>
      </x:c>
      <x:c r="B195" s="299" t="str">
        <x:v>Autonomic Systems</x:v>
      </x:c>
      <x:c r="C195" s="300" t="str">
        <x:v>IT</x:v>
      </x:c>
      <x:c r="D195" s="299" t="str">
        <x:v>Innovation Trigger</x:v>
      </x:c>
      <x:c r="E195" s="299" t="str">
        <x:v>Business / Emerging Technology</x:v>
      </x:c>
      <x:c r="F195" s="299" t="str">
        <x:v>https://www.gartner.com/en/articles/what-s-new-in-the-2022-gartner-hype-cycle-for-emerging-technologies</x:v>
      </x:c>
      <x:c r="G195" s="299" t="str">
        <x:v>Gartner report/article plus public chart/report copy used to reconstruct exact placements.</x:v>
      </x:c>
    </x:row>
    <x:row r="196">
      <x:c r="A196" s="300" t="n">
        <x:v>2022</x:v>
      </x:c>
      <x:c r="B196" s="299" t="str">
        <x:v>Causal AI</x:v>
      </x:c>
      <x:c r="C196" s="300" t="str">
        <x:v>IT</x:v>
      </x:c>
      <x:c r="D196" s="299" t="str">
        <x:v>Innovation Trigger</x:v>
      </x:c>
      <x:c r="E196" s="299" t="str">
        <x:v>AI / Data / Analytics</x:v>
      </x:c>
      <x:c r="F196" s="299" t="str">
        <x:v>https://www.gartner.com/en/articles/what-s-new-in-the-2022-gartner-hype-cycle-for-emerging-technologies</x:v>
      </x:c>
      <x:c r="G196" s="299" t="str">
        <x:v>Gartner report/article plus public chart/report copy used to reconstruct exact placements.</x:v>
      </x:c>
    </x:row>
    <x:row r="197">
      <x:c r="A197" s="300" t="n">
        <x:v>2022</x:v>
      </x:c>
      <x:c r="B197" s="299" t="str">
        <x:v>Generative Design AI</x:v>
      </x:c>
      <x:c r="C197" s="300" t="str">
        <x:v>IT</x:v>
      </x:c>
      <x:c r="D197" s="299" t="str">
        <x:v>Innovation Trigger</x:v>
      </x:c>
      <x:c r="E197" s="299" t="str">
        <x:v>AI / Data / Analytics</x:v>
      </x:c>
      <x:c r="F197" s="299" t="str">
        <x:v>https://www.gartner.com/en/articles/what-s-new-in-the-2022-gartner-hype-cycle-for-emerging-technologies</x:v>
      </x:c>
      <x:c r="G197" s="299" t="str">
        <x:v>Gartner report/article plus public chart/report copy used to reconstruct exact placements.</x:v>
      </x:c>
    </x:row>
    <x:row r="198">
      <x:c r="A198" s="300" t="n">
        <x:v>2022</x:v>
      </x:c>
      <x:c r="B198" s="299" t="str">
        <x:v>Machine Learning Code Generation</x:v>
      </x:c>
      <x:c r="C198" s="300" t="str">
        <x:v>IT</x:v>
      </x:c>
      <x:c r="D198" s="299" t="str">
        <x:v>Innovation Trigger</x:v>
      </x:c>
      <x:c r="E198" s="299" t="str">
        <x:v>AI / Data / Analytics</x:v>
      </x:c>
      <x:c r="F198" s="299" t="str">
        <x:v>https://www.gartner.com/en/articles/what-s-new-in-the-2022-gartner-hype-cycle-for-emerging-technologies</x:v>
      </x:c>
      <x:c r="G198" s="299" t="str">
        <x:v>Gartner report/article plus public chart/report copy used to reconstruct exact placements.</x:v>
      </x:c>
    </x:row>
    <x:row r="199">
      <x:c r="A199" s="300" t="n">
        <x:v>2022</x:v>
      </x:c>
      <x:c r="B199" s="299" t="str">
        <x:v>Augmented FinOps</x:v>
      </x:c>
      <x:c r="C199" s="300" t="str">
        <x:v>IT</x:v>
      </x:c>
      <x:c r="D199" s="299" t="str">
        <x:v>Innovation Trigger</x:v>
      </x:c>
      <x:c r="E199" s="299" t="str">
        <x:v>Cloud / Software Engineering</x:v>
      </x:c>
      <x:c r="F199" s="299" t="str">
        <x:v>https://www.gartner.com/en/articles/what-s-new-in-the-2022-gartner-hype-cycle-for-emerging-technologies</x:v>
      </x:c>
      <x:c r="G199" s="299" t="str">
        <x:v>Gartner report/article plus public chart/report copy used to reconstruct exact placements.</x:v>
      </x:c>
    </x:row>
    <x:row r="200">
      <x:c r="A200" s="300" t="n">
        <x:v>2022</x:v>
      </x:c>
      <x:c r="B200" s="299" t="str">
        <x:v>Cloud Sustainability</x:v>
      </x:c>
      <x:c r="C200" s="300" t="str">
        <x:v>IT</x:v>
      </x:c>
      <x:c r="D200" s="299" t="str">
        <x:v>Innovation Trigger</x:v>
      </x:c>
      <x:c r="E200" s="299" t="str">
        <x:v>Cloud / Software Engineering</x:v>
      </x:c>
      <x:c r="F200" s="299" t="str">
        <x:v>https://www.gartner.com/en/articles/what-s-new-in-the-2022-gartner-hype-cycle-for-emerging-technologies</x:v>
      </x:c>
      <x:c r="G200" s="299" t="str">
        <x:v>Gartner report/article plus public chart/report copy used to reconstruct exact placements.</x:v>
      </x:c>
    </x:row>
    <x:row r="201">
      <x:c r="A201" s="300" t="n">
        <x:v>2022</x:v>
      </x:c>
      <x:c r="B201" s="299" t="str">
        <x:v>Cybersecurity Mesh Architecture</x:v>
      </x:c>
      <x:c r="C201" s="300" t="str">
        <x:v>IT</x:v>
      </x:c>
      <x:c r="D201" s="299" t="str">
        <x:v>Innovation Trigger</x:v>
      </x:c>
      <x:c r="E201" s="299" t="str">
        <x:v>Security / Privacy</x:v>
      </x:c>
      <x:c r="F201" s="299" t="str">
        <x:v>https://www.gartner.com/en/articles/what-s-new-in-the-2022-gartner-hype-cycle-for-emerging-technologies</x:v>
      </x:c>
      <x:c r="G201" s="299" t="str">
        <x:v>Gartner report/article plus public chart/report copy used to reconstruct exact placements.</x:v>
      </x:c>
    </x:row>
    <x:row r="202">
      <x:c r="A202" s="300" t="n">
        <x:v>2022</x:v>
      </x:c>
      <x:c r="B202" s="299" t="str">
        <x:v>Data Observability</x:v>
      </x:c>
      <x:c r="C202" s="300" t="str">
        <x:v>IT</x:v>
      </x:c>
      <x:c r="D202" s="299" t="str">
        <x:v>Innovation Trigger</x:v>
      </x:c>
      <x:c r="E202" s="299" t="str">
        <x:v>Cloud / Software Engineering</x:v>
      </x:c>
      <x:c r="F202" s="299" t="str">
        <x:v>https://www.gartner.com/en/articles/what-s-new-in-the-2022-gartner-hype-cycle-for-emerging-technologies</x:v>
      </x:c>
      <x:c r="G202" s="299" t="str">
        <x:v>Gartner report/article plus public chart/report copy used to reconstruct exact placements.</x:v>
      </x:c>
    </x:row>
    <x:row r="203">
      <x:c r="A203" s="300" t="n">
        <x:v>2022</x:v>
      </x:c>
      <x:c r="B203" s="299" t="str">
        <x:v>Dynamic Risk Governance</x:v>
      </x:c>
      <x:c r="C203" s="300" t="str">
        <x:v>IT</x:v>
      </x:c>
      <x:c r="D203" s="299" t="str">
        <x:v>Innovation Trigger</x:v>
      </x:c>
      <x:c r="E203" s="299" t="str">
        <x:v>Security / Privacy</x:v>
      </x:c>
      <x:c r="F203" s="299" t="str">
        <x:v>https://www.gartner.com/en/articles/what-s-new-in-the-2022-gartner-hype-cycle-for-emerging-technologies</x:v>
      </x:c>
      <x:c r="G203" s="299" t="str">
        <x:v>Gartner report/article plus public chart/report copy used to reconstruct exact placements.</x:v>
      </x:c>
    </x:row>
    <x:row r="204">
      <x:c r="A204" s="300" t="n">
        <x:v>2022</x:v>
      </x:c>
      <x:c r="B204" s="299" t="str">
        <x:v>Industry Cloud Platforms</x:v>
      </x:c>
      <x:c r="C204" s="300" t="str">
        <x:v>IT</x:v>
      </x:c>
      <x:c r="D204" s="299" t="str">
        <x:v>Innovation Trigger</x:v>
      </x:c>
      <x:c r="E204" s="299" t="str">
        <x:v>Cloud / Software Engineering</x:v>
      </x:c>
      <x:c r="F204" s="299" t="str">
        <x:v>https://www.gartner.com/en/articles/what-s-new-in-the-2022-gartner-hype-cycle-for-emerging-technologies</x:v>
      </x:c>
      <x:c r="G204" s="299" t="str">
        <x:v>Gartner report/article plus public chart/report copy used to reconstruct exact placements.</x:v>
      </x:c>
    </x:row>
    <x:row r="205">
      <x:c r="A205" s="300" t="n">
        <x:v>2022</x:v>
      </x:c>
      <x:c r="B205" s="299" t="str">
        <x:v>Minimum Viable Architecture</x:v>
      </x:c>
      <x:c r="C205" s="300" t="str">
        <x:v>IT</x:v>
      </x:c>
      <x:c r="D205" s="299" t="str">
        <x:v>Innovation Trigger</x:v>
      </x:c>
      <x:c r="E205" s="299" t="str">
        <x:v>Business / Emerging Technology</x:v>
      </x:c>
      <x:c r="F205" s="299" t="str">
        <x:v>https://www.gartner.com/en/articles/what-s-new-in-the-2022-gartner-hype-cycle-for-emerging-technologies</x:v>
      </x:c>
      <x:c r="G205" s="299" t="str">
        <x:v>Gartner report/article plus public chart/report copy used to reconstruct exact placements.</x:v>
      </x:c>
    </x:row>
    <x:row r="206">
      <x:c r="A206" s="300" t="n">
        <x:v>2022</x:v>
      </x:c>
      <x:c r="B206" s="299" t="str">
        <x:v>Observability-Driven Development</x:v>
      </x:c>
      <x:c r="C206" s="300" t="str">
        <x:v>IT</x:v>
      </x:c>
      <x:c r="D206" s="299" t="str">
        <x:v>Innovation Trigger</x:v>
      </x:c>
      <x:c r="E206" s="299" t="str">
        <x:v>Cloud / Software Engineering</x:v>
      </x:c>
      <x:c r="F206" s="299" t="str">
        <x:v>https://www.gartner.com/en/articles/what-s-new-in-the-2022-gartner-hype-cycle-for-emerging-technologies</x:v>
      </x:c>
      <x:c r="G206" s="299" t="str">
        <x:v>Gartner report/article plus public chart/report copy used to reconstruct exact placements.</x:v>
      </x:c>
    </x:row>
    <x:row r="207">
      <x:c r="A207" s="300" t="n">
        <x:v>2022</x:v>
      </x:c>
      <x:c r="B207" s="299" t="str">
        <x:v>OpenTelemetry</x:v>
      </x:c>
      <x:c r="C207" s="300" t="str">
        <x:v>IT</x:v>
      </x:c>
      <x:c r="D207" s="299" t="str">
        <x:v>Innovation Trigger</x:v>
      </x:c>
      <x:c r="E207" s="299" t="str">
        <x:v>Cloud / Software Engineering</x:v>
      </x:c>
      <x:c r="F207" s="299" t="str">
        <x:v>https://www.gartner.com/en/articles/what-s-new-in-the-2022-gartner-hype-cycle-for-emerging-technologies</x:v>
      </x:c>
      <x:c r="G207" s="299" t="str">
        <x:v>Gartner report/article plus public chart/report copy used to reconstruct exact placements.</x:v>
      </x:c>
    </x:row>
    <x:row r="208">
      <x:c r="A208" s="300" t="n">
        <x:v>2022</x:v>
      </x:c>
      <x:c r="B208" s="299" t="str">
        <x:v>Platform Engineering</x:v>
      </x:c>
      <x:c r="C208" s="300" t="str">
        <x:v>IT</x:v>
      </x:c>
      <x:c r="D208" s="299" t="str">
        <x:v>Innovation Trigger</x:v>
      </x:c>
      <x:c r="E208" s="299" t="str">
        <x:v>Cloud / Software Engineering</x:v>
      </x:c>
      <x:c r="F208" s="299" t="str">
        <x:v>https://www.gartner.com/en/articles/what-s-new-in-the-2022-gartner-hype-cycle-for-emerging-technologies</x:v>
      </x:c>
      <x:c r="G208" s="299" t="str">
        <x:v>Gartner report/article plus public chart/report copy used to reconstruct exact placements.</x:v>
      </x:c>
    </x:row>
    <x:row r="209">
      <x:c r="A209" s="300" t="n">
        <x:v>2022</x:v>
      </x:c>
      <x:c r="B209" s="299" t="str">
        <x:v>Decentralized Identity</x:v>
      </x:c>
      <x:c r="C209" s="300" t="str">
        <x:v>PE</x:v>
      </x:c>
      <x:c r="D209" s="299" t="str">
        <x:v>Peak of Inflated Expectations</x:v>
      </x:c>
      <x:c r="E209" s="299" t="str">
        <x:v>Blockchain / Digital Assets</x:v>
      </x:c>
      <x:c r="F209" s="299" t="str">
        <x:v>https://www.gartner.com/en/articles/what-s-new-in-the-2022-gartner-hype-cycle-for-emerging-technologies</x:v>
      </x:c>
      <x:c r="G209" s="299" t="str">
        <x:v>Gartner report/article plus public chart/report copy used to reconstruct exact placements.</x:v>
      </x:c>
    </x:row>
    <x:row r="210">
      <x:c r="A210" s="300" t="n">
        <x:v>2022</x:v>
      </x:c>
      <x:c r="B210" s="299" t="str">
        <x:v>Non-fungible Token (NFT)</x:v>
      </x:c>
      <x:c r="C210" s="300" t="str">
        <x:v>PE</x:v>
      </x:c>
      <x:c r="D210" s="299" t="str">
        <x:v>Peak of Inflated Expectations</x:v>
      </x:c>
      <x:c r="E210" s="299" t="str">
        <x:v>Blockchain / Digital Assets</x:v>
      </x:c>
      <x:c r="F210" s="299" t="str">
        <x:v>https://www.gartner.com/en/articles/what-s-new-in-the-2022-gartner-hype-cycle-for-emerging-technologies</x:v>
      </x:c>
      <x:c r="G210" s="299" t="str">
        <x:v>Gartner report/article plus public chart/report copy used to reconstruct exact placements.</x:v>
      </x:c>
    </x:row>
    <x:row r="211">
      <x:c r="A211" s="300" t="n">
        <x:v>2022</x:v>
      </x:c>
      <x:c r="B211" s="299" t="str">
        <x:v>Web3</x:v>
      </x:c>
      <x:c r="C211" s="300" t="str">
        <x:v>PE</x:v>
      </x:c>
      <x:c r="D211" s="299" t="str">
        <x:v>Peak of Inflated Expectations</x:v>
      </x:c>
      <x:c r="E211" s="299" t="str">
        <x:v>Blockchain / Digital Assets</x:v>
      </x:c>
      <x:c r="F211" s="299" t="str">
        <x:v>https://www.gartner.com/en/articles/what-s-new-in-the-2022-gartner-hype-cycle-for-emerging-technologies</x:v>
      </x:c>
      <x:c r="G211" s="299" t="str">
        <x:v>Gartner report/article plus public chart/report copy used to reconstruct exact placements.</x:v>
      </x:c>
    </x:row>
    <x:row r="212">
      <x:c r="A212" s="300" t="n">
        <x:v>2022</x:v>
      </x:c>
      <x:c r="B212" s="299" t="str">
        <x:v>Foundation Models</x:v>
      </x:c>
      <x:c r="C212" s="300" t="str">
        <x:v>PE</x:v>
      </x:c>
      <x:c r="D212" s="299" t="str">
        <x:v>Peak of Inflated Expectations</x:v>
      </x:c>
      <x:c r="E212" s="299" t="str">
        <x:v>AI / Data / Analytics</x:v>
      </x:c>
      <x:c r="F212" s="299" t="str">
        <x:v>https://www.gartner.com/en/articles/what-s-new-in-the-2022-gartner-hype-cycle-for-emerging-technologies</x:v>
      </x:c>
      <x:c r="G212" s="299" t="str">
        <x:v>Gartner report/article plus public chart/report copy used to reconstruct exact placements.</x:v>
      </x:c>
    </x:row>
    <x:row r="213">
      <x:c r="A213" s="300" t="n">
        <x:v>2022</x:v>
      </x:c>
      <x:c r="B213" s="299" t="str">
        <x:v>Computational Storage</x:v>
      </x:c>
      <x:c r="C213" s="300" t="str">
        <x:v>PE</x:v>
      </x:c>
      <x:c r="D213" s="299" t="str">
        <x:v>Peak of Inflated Expectations</x:v>
      </x:c>
      <x:c r="E213" s="299" t="str">
        <x:v>Advanced Computing</x:v>
      </x:c>
      <x:c r="F213" s="299" t="str">
        <x:v>https://www.gartner.com/en/articles/what-s-new-in-the-2022-gartner-hype-cycle-for-emerging-technologies</x:v>
      </x:c>
      <x:c r="G213" s="299" t="str">
        <x:v>Gartner report/article plus public chart/report copy used to reconstruct exact placements.</x:v>
      </x:c>
    </x:row>
    <x:row r="214">
      <x:c r="A214" s="300" t="n">
        <x:v>2022</x:v>
      </x:c>
      <x:c r="B214" s="299" t="str">
        <x:v>Cloud Data Ecosystems</x:v>
      </x:c>
      <x:c r="C214" s="300" t="str">
        <x:v>PE</x:v>
      </x:c>
      <x:c r="D214" s="299" t="str">
        <x:v>Peak of Inflated Expectations</x:v>
      </x:c>
      <x:c r="E214" s="299" t="str">
        <x:v>Cloud / Software Engineering</x:v>
      </x:c>
      <x:c r="F214" s="299" t="str">
        <x:v>https://www.gartner.com/en/articles/what-s-new-in-the-2022-gartner-hype-cycle-for-emerging-technologies</x:v>
      </x:c>
      <x:c r="G214" s="299" t="str">
        <x:v>Gartner report/article plus public chart/report copy used to reconstruct exact placements.</x:v>
      </x:c>
    </x:row>
    <x:row r="215">
      <x:c r="A215" s="300" t="n">
        <x:v>2023</x:v>
      </x:c>
      <x:c r="B215" s="299" t="str">
        <x:v>Federated Machine Learning</x:v>
      </x:c>
      <x:c r="C215" s="300" t="str">
        <x:v>IT</x:v>
      </x:c>
      <x:c r="D215" s="299" t="str">
        <x:v>Innovation Trigger</x:v>
      </x:c>
      <x:c r="E215" s="299" t="str">
        <x:v>AI / Data / Analytics</x:v>
      </x:c>
      <x:c r="F215" s="299" t="str">
        <x:v>https://www.gartner.com/en/articles/what-s-new-in-the-2023-gartner-hype-cycle-for-emerging-technologies</x:v>
      </x:c>
      <x:c r="G215" s="299" t="str">
        <x:v>Chart/list reconstructed from Gartner article/chart and public archival reproductions.</x:v>
      </x:c>
    </x:row>
    <x:row r="216">
      <x:c r="A216" s="300" t="n">
        <x:v>2023</x:v>
      </x:c>
      <x:c r="B216" s="299" t="str">
        <x:v>Industry Cloud Platforms</x:v>
      </x:c>
      <x:c r="C216" s="300" t="str">
        <x:v>IT</x:v>
      </x:c>
      <x:c r="D216" s="299" t="str">
        <x:v>Innovation Trigger</x:v>
      </x:c>
      <x:c r="E216" s="299" t="str">
        <x:v>Cloud / Software Engineering</x:v>
      </x:c>
      <x:c r="F216" s="299" t="str">
        <x:v>https://www.gartner.com/en/articles/what-s-new-in-the-2023-gartner-hype-cycle-for-emerging-technologies</x:v>
      </x:c>
      <x:c r="G216" s="299" t="str">
        <x:v>Chart/list reconstructed from Gartner article/chart and public archival reproductions.</x:v>
      </x:c>
    </x:row>
    <x:row r="217">
      <x:c r="A217" s="300" t="n">
        <x:v>2023</x:v>
      </x:c>
      <x:c r="B217" s="299" t="str">
        <x:v>Internal Developer Portals</x:v>
      </x:c>
      <x:c r="C217" s="300" t="str">
        <x:v>IT</x:v>
      </x:c>
      <x:c r="D217" s="299" t="str">
        <x:v>Innovation Trigger</x:v>
      </x:c>
      <x:c r="E217" s="299" t="str">
        <x:v>Cloud / Software Engineering</x:v>
      </x:c>
      <x:c r="F217" s="299" t="str">
        <x:v>https://www.gartner.com/en/articles/what-s-new-in-the-2023-gartner-hype-cycle-for-emerging-technologies</x:v>
      </x:c>
      <x:c r="G217" s="299" t="str">
        <x:v>Chart/list reconstructed from Gartner article/chart and public archival reproductions.</x:v>
      </x:c>
    </x:row>
    <x:row r="218">
      <x:c r="A218" s="300" t="n">
        <x:v>2023</x:v>
      </x:c>
      <x:c r="B218" s="299" t="str">
        <x:v>Cloud Sustainability</x:v>
      </x:c>
      <x:c r="C218" s="300" t="str">
        <x:v>IT</x:v>
      </x:c>
      <x:c r="D218" s="299" t="str">
        <x:v>Innovation Trigger</x:v>
      </x:c>
      <x:c r="E218" s="299" t="str">
        <x:v>Cloud / Software Engineering</x:v>
      </x:c>
      <x:c r="F218" s="299" t="str">
        <x:v>https://www.gartner.com/en/articles/what-s-new-in-the-2023-gartner-hype-cycle-for-emerging-technologies</x:v>
      </x:c>
      <x:c r="G218" s="299" t="str">
        <x:v>Chart/list reconstructed from Gartner article/chart and public archival reproductions.</x:v>
      </x:c>
    </x:row>
    <x:row r="219">
      <x:c r="A219" s="300" t="n">
        <x:v>2023</x:v>
      </x:c>
      <x:c r="B219" s="299" t="str">
        <x:v>Homomorphic Encryption</x:v>
      </x:c>
      <x:c r="C219" s="300" t="str">
        <x:v>IT</x:v>
      </x:c>
      <x:c r="D219" s="299" t="str">
        <x:v>Innovation Trigger</x:v>
      </x:c>
      <x:c r="E219" s="299" t="str">
        <x:v>Security / Privacy</x:v>
      </x:c>
      <x:c r="F219" s="299" t="str">
        <x:v>https://www.gartner.com/en/articles/what-s-new-in-the-2023-gartner-hype-cycle-for-emerging-technologies</x:v>
      </x:c>
      <x:c r="G219" s="299" t="str">
        <x:v>Chart/list reconstructed from Gartner article/chart and public archival reproductions.</x:v>
      </x:c>
    </x:row>
    <x:row r="220">
      <x:c r="A220" s="300" t="n">
        <x:v>2023</x:v>
      </x:c>
      <x:c r="B220" s="299" t="str">
        <x:v>Value Stream Management Platforms</x:v>
      </x:c>
      <x:c r="C220" s="300" t="str">
        <x:v>IT</x:v>
      </x:c>
      <x:c r="D220" s="299" t="str">
        <x:v>Innovation Trigger</x:v>
      </x:c>
      <x:c r="E220" s="299" t="str">
        <x:v>Business / Emerging Technology</x:v>
      </x:c>
      <x:c r="F220" s="299" t="str">
        <x:v>https://www.gartner.com/en/articles/what-s-new-in-the-2023-gartner-hype-cycle-for-emerging-technologies</x:v>
      </x:c>
      <x:c r="G220" s="299" t="str">
        <x:v>Chart/list reconstructed from Gartner article/chart and public archival reproductions.</x:v>
      </x:c>
    </x:row>
    <x:row r="221">
      <x:c r="A221" s="300" t="n">
        <x:v>2023</x:v>
      </x:c>
      <x:c r="B221" s="299" t="str">
        <x:v>Reinforcement Learning</x:v>
      </x:c>
      <x:c r="C221" s="300" t="str">
        <x:v>IT</x:v>
      </x:c>
      <x:c r="D221" s="299" t="str">
        <x:v>Innovation Trigger</x:v>
      </x:c>
      <x:c r="E221" s="299" t="str">
        <x:v>AI / Data / Analytics</x:v>
      </x:c>
      <x:c r="F221" s="299" t="str">
        <x:v>https://www.gartner.com/en/articles/what-s-new-in-the-2023-gartner-hype-cycle-for-emerging-technologies</x:v>
      </x:c>
      <x:c r="G221" s="299" t="str">
        <x:v>Chart/list reconstructed from Gartner article/chart and public archival reproductions.</x:v>
      </x:c>
    </x:row>
    <x:row r="222">
      <x:c r="A222" s="300" t="n">
        <x:v>2023</x:v>
      </x:c>
      <x:c r="B222" s="299" t="str">
        <x:v>Cloud Development Environments</x:v>
      </x:c>
      <x:c r="C222" s="300" t="str">
        <x:v>IT</x:v>
      </x:c>
      <x:c r="D222" s="299" t="str">
        <x:v>Innovation Trigger</x:v>
      </x:c>
      <x:c r="E222" s="299" t="str">
        <x:v>Cloud / Software Engineering</x:v>
      </x:c>
      <x:c r="F222" s="299" t="str">
        <x:v>https://www.gartner.com/en/articles/what-s-new-in-the-2023-gartner-hype-cycle-for-emerging-technologies</x:v>
      </x:c>
      <x:c r="G222" s="299" t="str">
        <x:v>Chart/list reconstructed from Gartner article/chart and public archival reproductions.</x:v>
      </x:c>
    </x:row>
    <x:row r="223">
      <x:c r="A223" s="300" t="n">
        <x:v>2023</x:v>
      </x:c>
      <x:c r="B223" s="299" t="str">
        <x:v>Graph Data Science</x:v>
      </x:c>
      <x:c r="C223" s="300" t="str">
        <x:v>IT</x:v>
      </x:c>
      <x:c r="D223" s="299" t="str">
        <x:v>Innovation Trigger</x:v>
      </x:c>
      <x:c r="E223" s="299" t="str">
        <x:v>AI / Data / Analytics</x:v>
      </x:c>
      <x:c r="F223" s="299" t="str">
        <x:v>https://www.gartner.com/en/articles/what-s-new-in-the-2023-gartner-hype-cycle-for-emerging-technologies</x:v>
      </x:c>
      <x:c r="G223" s="299" t="str">
        <x:v>Chart/list reconstructed from Gartner article/chart and public archival reproductions.</x:v>
      </x:c>
    </x:row>
    <x:row r="224">
      <x:c r="A224" s="300" t="n">
        <x:v>2023</x:v>
      </x:c>
      <x:c r="B224" s="299" t="str">
        <x:v>AI Simulation</x:v>
      </x:c>
      <x:c r="C224" s="300" t="str">
        <x:v>IT</x:v>
      </x:c>
      <x:c r="D224" s="299" t="str">
        <x:v>Innovation Trigger</x:v>
      </x:c>
      <x:c r="E224" s="299" t="str">
        <x:v>AI / Data / Analytics</x:v>
      </x:c>
      <x:c r="F224" s="299" t="str">
        <x:v>https://www.gartner.com/en/articles/what-s-new-in-the-2023-gartner-hype-cycle-for-emerging-technologies</x:v>
      </x:c>
      <x:c r="G224" s="299" t="str">
        <x:v>Chart/list reconstructed from Gartner article/chart and public archival reproductions.</x:v>
      </x:c>
    </x:row>
    <x:row r="225">
      <x:c r="A225" s="300" t="n">
        <x:v>2023</x:v>
      </x:c>
      <x:c r="B225" s="299" t="str">
        <x:v>Causal AI</x:v>
      </x:c>
      <x:c r="C225" s="300" t="str">
        <x:v>IT</x:v>
      </x:c>
      <x:c r="D225" s="299" t="str">
        <x:v>Innovation Trigger</x:v>
      </x:c>
      <x:c r="E225" s="299" t="str">
        <x:v>AI / Data / Analytics</x:v>
      </x:c>
      <x:c r="F225" s="299" t="str">
        <x:v>https://www.gartner.com/en/articles/what-s-new-in-the-2023-gartner-hype-cycle-for-emerging-technologies</x:v>
      </x:c>
      <x:c r="G225" s="299" t="str">
        <x:v>Chart/list reconstructed from Gartner article/chart and public archival reproductions.</x:v>
      </x:c>
    </x:row>
    <x:row r="226">
      <x:c r="A226" s="300" t="n">
        <x:v>2023</x:v>
      </x:c>
      <x:c r="B226" s="299" t="str">
        <x:v>Postquantum Cryptography</x:v>
      </x:c>
      <x:c r="C226" s="300" t="str">
        <x:v>IT</x:v>
      </x:c>
      <x:c r="D226" s="299" t="str">
        <x:v>Innovation Trigger</x:v>
      </x:c>
      <x:c r="E226" s="299" t="str">
        <x:v>Security / Privacy</x:v>
      </x:c>
      <x:c r="F226" s="299" t="str">
        <x:v>https://www.gartner.com/en/articles/what-s-new-in-the-2023-gartner-hype-cycle-for-emerging-technologies</x:v>
      </x:c>
      <x:c r="G226" s="299" t="str">
        <x:v>Chart/list reconstructed from Gartner article/chart and public archival reproductions.</x:v>
      </x:c>
    </x:row>
    <x:row r="227">
      <x:c r="A227" s="300" t="n">
        <x:v>2023</x:v>
      </x:c>
      <x:c r="B227" s="299" t="str">
        <x:v>Neuro-Symbolic AI</x:v>
      </x:c>
      <x:c r="C227" s="300" t="str">
        <x:v>IT</x:v>
      </x:c>
      <x:c r="D227" s="299" t="str">
        <x:v>Innovation Trigger</x:v>
      </x:c>
      <x:c r="E227" s="299" t="str">
        <x:v>AI / Data / Analytics</x:v>
      </x:c>
      <x:c r="F227" s="299" t="str">
        <x:v>https://www.gartner.com/en/articles/what-s-new-in-the-2023-gartner-hype-cycle-for-emerging-technologies</x:v>
      </x:c>
      <x:c r="G227" s="299" t="str">
        <x:v>Chart/list reconstructed from Gartner article/chart and public archival reproductions.</x:v>
      </x:c>
    </x:row>
    <x:row r="228">
      <x:c r="A228" s="300" t="n">
        <x:v>2023</x:v>
      </x:c>
      <x:c r="B228" s="299" t="str">
        <x:v>Augmented FinOps</x:v>
      </x:c>
      <x:c r="C228" s="300" t="str">
        <x:v>IT</x:v>
      </x:c>
      <x:c r="D228" s="299" t="str">
        <x:v>Innovation Trigger</x:v>
      </x:c>
      <x:c r="E228" s="299" t="str">
        <x:v>Cloud / Software Engineering</x:v>
      </x:c>
      <x:c r="F228" s="299" t="str">
        <x:v>https://www.gartner.com/en/articles/what-s-new-in-the-2023-gartner-hype-cycle-for-emerging-technologies</x:v>
      </x:c>
      <x:c r="G228" s="299" t="str">
        <x:v>Chart/list reconstructed from Gartner article/chart and public archival reproductions.</x:v>
      </x:c>
    </x:row>
    <x:row r="229">
      <x:c r="A229" s="300" t="n">
        <x:v>2023</x:v>
      </x:c>
      <x:c r="B229" s="299" t="str">
        <x:v>GitOps</x:v>
      </x:c>
      <x:c r="C229" s="300" t="str">
        <x:v>IT</x:v>
      </x:c>
      <x:c r="D229" s="299" t="str">
        <x:v>Innovation Trigger</x:v>
      </x:c>
      <x:c r="E229" s="299" t="str">
        <x:v>Cloud / Software Engineering</x:v>
      </x:c>
      <x:c r="F229" s="299" t="str">
        <x:v>https://www.gartner.com/en/articles/what-s-new-in-the-2023-gartner-hype-cycle-for-emerging-technologies</x:v>
      </x:c>
      <x:c r="G229" s="299" t="str">
        <x:v>Chart/list reconstructed from Gartner article/chart and public archival reproductions.</x:v>
      </x:c>
    </x:row>
    <x:row r="230">
      <x:c r="A230" s="300" t="n">
        <x:v>2023</x:v>
      </x:c>
      <x:c r="B230" s="299" t="str">
        <x:v>Generative Cybersecurity AI</x:v>
      </x:c>
      <x:c r="C230" s="300" t="str">
        <x:v>IT</x:v>
      </x:c>
      <x:c r="D230" s="299" t="str">
        <x:v>Innovation Trigger</x:v>
      </x:c>
      <x:c r="E230" s="299" t="str">
        <x:v>Security / Privacy</x:v>
      </x:c>
      <x:c r="F230" s="299" t="str">
        <x:v>https://www.gartner.com/en/articles/what-s-new-in-the-2023-gartner-hype-cycle-for-emerging-technologies</x:v>
      </x:c>
      <x:c r="G230" s="299" t="str">
        <x:v>Chart/list reconstructed from Gartner article/chart and public archival reproductions.</x:v>
      </x:c>
    </x:row>
    <x:row r="231">
      <x:c r="A231" s="300" t="n">
        <x:v>2023</x:v>
      </x:c>
      <x:c r="B231" s="299" t="str">
        <x:v>Cybersecurity Mesh Architecture</x:v>
      </x:c>
      <x:c r="C231" s="300" t="str">
        <x:v>IT</x:v>
      </x:c>
      <x:c r="D231" s="299" t="str">
        <x:v>Innovation Trigger</x:v>
      </x:c>
      <x:c r="E231" s="299" t="str">
        <x:v>Security / Privacy</x:v>
      </x:c>
      <x:c r="F231" s="299" t="str">
        <x:v>https://www.gartner.com/en/articles/what-s-new-in-the-2023-gartner-hype-cycle-for-emerging-technologies</x:v>
      </x:c>
      <x:c r="G231" s="299" t="str">
        <x:v>Chart/list reconstructed from Gartner article/chart and public archival reproductions.</x:v>
      </x:c>
    </x:row>
    <x:row r="232">
      <x:c r="A232" s="300" t="n">
        <x:v>2023</x:v>
      </x:c>
      <x:c r="B232" s="299" t="str">
        <x:v>API-Centric SaaS</x:v>
      </x:c>
      <x:c r="C232" s="300" t="str">
        <x:v>PE</x:v>
      </x:c>
      <x:c r="D232" s="299" t="str">
        <x:v>Peak of Inflated Expectations</x:v>
      </x:c>
      <x:c r="E232" s="299" t="str">
        <x:v>Business / Emerging Technology</x:v>
      </x:c>
      <x:c r="F232" s="299" t="str">
        <x:v>https://www.gartner.com/en/articles/what-s-new-in-the-2023-gartner-hype-cycle-for-emerging-technologies</x:v>
      </x:c>
      <x:c r="G232" s="299" t="str">
        <x:v>Chart/list reconstructed from Gartner article/chart and public archival reproductions.</x:v>
      </x:c>
    </x:row>
    <x:row r="233">
      <x:c r="A233" s="300" t="n">
        <x:v>2023</x:v>
      </x:c>
      <x:c r="B233" s="299" t="str">
        <x:v>Open-Source Program Office</x:v>
      </x:c>
      <x:c r="C233" s="300" t="str">
        <x:v>PE</x:v>
      </x:c>
      <x:c r="D233" s="299" t="str">
        <x:v>Peak of Inflated Expectations</x:v>
      </x:c>
      <x:c r="E233" s="299" t="str">
        <x:v>Business / Emerging Technology</x:v>
      </x:c>
      <x:c r="F233" s="299" t="str">
        <x:v>https://www.gartner.com/en/articles/what-s-new-in-the-2023-gartner-hype-cycle-for-emerging-technologies</x:v>
      </x:c>
      <x:c r="G233" s="299" t="str">
        <x:v>Chart/list reconstructed from Gartner article/chart and public archival reproductions.</x:v>
      </x:c>
    </x:row>
    <x:row r="234">
      <x:c r="A234" s="300" t="n">
        <x:v>2023</x:v>
      </x:c>
      <x:c r="B234" s="299" t="str">
        <x:v>Cloud-Out to Edge</x:v>
      </x:c>
      <x:c r="C234" s="300" t="str">
        <x:v>PE</x:v>
      </x:c>
      <x:c r="D234" s="299" t="str">
        <x:v>Peak of Inflated Expectations</x:v>
      </x:c>
      <x:c r="E234" s="299" t="str">
        <x:v>Cloud / Software Engineering</x:v>
      </x:c>
      <x:c r="F234" s="299" t="str">
        <x:v>https://www.gartner.com/en/articles/what-s-new-in-the-2023-gartner-hype-cycle-for-emerging-technologies</x:v>
      </x:c>
      <x:c r="G234" s="299" t="str">
        <x:v>Chart/list reconstructed from Gartner article/chart and public archival reproductions.</x:v>
      </x:c>
    </x:row>
    <x:row r="235">
      <x:c r="A235" s="300" t="n">
        <x:v>2023</x:v>
      </x:c>
      <x:c r="B235" s="299" t="str">
        <x:v>AI TRiSM</x:v>
      </x:c>
      <x:c r="C235" s="300" t="str">
        <x:v>PE</x:v>
      </x:c>
      <x:c r="D235" s="299" t="str">
        <x:v>Peak of Inflated Expectations</x:v>
      </x:c>
      <x:c r="E235" s="299" t="str">
        <x:v>AI / Data / Analytics</x:v>
      </x:c>
      <x:c r="F235" s="299" t="str">
        <x:v>https://www.gartner.com/en/articles/what-s-new-in-the-2023-gartner-hype-cycle-for-emerging-technologies</x:v>
      </x:c>
      <x:c r="G235" s="299" t="str">
        <x:v>Chart/list reconstructed from Gartner article/chart and public archival reproductions.</x:v>
      </x:c>
    </x:row>
    <x:row r="236">
      <x:c r="A236" s="300" t="n">
        <x:v>2023</x:v>
      </x:c>
      <x:c r="B236" s="299" t="str">
        <x:v>WebAssembly (Wasm)</x:v>
      </x:c>
      <x:c r="C236" s="300" t="str">
        <x:v>PE</x:v>
      </x:c>
      <x:c r="D236" s="299" t="str">
        <x:v>Peak of Inflated Expectations</x:v>
      </x:c>
      <x:c r="E236" s="299" t="str">
        <x:v>Cloud / Software Engineering</x:v>
      </x:c>
      <x:c r="F236" s="299" t="str">
        <x:v>https://www.gartner.com/en/articles/what-s-new-in-the-2023-gartner-hype-cycle-for-emerging-technologies</x:v>
      </x:c>
      <x:c r="G236" s="299" t="str">
        <x:v>Chart/list reconstructed from Gartner article/chart and public archival reproductions.</x:v>
      </x:c>
    </x:row>
    <x:row r="237">
      <x:c r="A237" s="300" t="n">
        <x:v>2023</x:v>
      </x:c>
      <x:c r="B237" s="299" t="str">
        <x:v>Generative AI</x:v>
      </x:c>
      <x:c r="C237" s="300" t="str">
        <x:v>PE</x:v>
      </x:c>
      <x:c r="D237" s="299" t="str">
        <x:v>Peak of Inflated Expectations</x:v>
      </x:c>
      <x:c r="E237" s="299" t="str">
        <x:v>AI / Data / Analytics</x:v>
      </x:c>
      <x:c r="F237" s="299" t="str">
        <x:v>https://www.gartner.com/en/articles/what-s-new-in-the-2023-gartner-hype-cycle-for-emerging-technologies</x:v>
      </x:c>
      <x:c r="G237" s="299" t="str">
        <x:v>Chart/list reconstructed from Gartner article/chart and public archival reproductions.</x:v>
      </x:c>
    </x:row>
    <x:row r="238">
      <x:c r="A238" s="300" t="n">
        <x:v>2023</x:v>
      </x:c>
      <x:c r="B238" s="299" t="str">
        <x:v>Cloud-Native</x:v>
      </x:c>
      <x:c r="C238" s="300" t="str">
        <x:v>PE</x:v>
      </x:c>
      <x:c r="D238" s="299" t="str">
        <x:v>Peak of Inflated Expectations</x:v>
      </x:c>
      <x:c r="E238" s="299" t="str">
        <x:v>Cloud / Software Engineering</x:v>
      </x:c>
      <x:c r="F238" s="299" t="str">
        <x:v>https://www.gartner.com/en/articles/what-s-new-in-the-2023-gartner-hype-cycle-for-emerging-technologies</x:v>
      </x:c>
      <x:c r="G238" s="299" t="str">
        <x:v>Chart/list reconstructed from Gartner article/chart and public archival reproductions.</x:v>
      </x:c>
    </x:row>
    <x:row r="239">
      <x:c r="A239" s="300" t="n">
        <x:v>2023</x:v>
      </x:c>
      <x:c r="B239" s="299" t="str">
        <x:v>AI-Augmented Software Engineering</x:v>
      </x:c>
      <x:c r="C239" s="300" t="str">
        <x:v>PE</x:v>
      </x:c>
      <x:c r="D239" s="299" t="str">
        <x:v>Peak of Inflated Expectations</x:v>
      </x:c>
      <x:c r="E239" s="299" t="str">
        <x:v>Cloud / Software Engineering</x:v>
      </x:c>
      <x:c r="F239" s="299" t="str">
        <x:v>https://www.gartner.com/en/articles/what-s-new-in-the-2023-gartner-hype-cycle-for-emerging-technologies</x:v>
      </x:c>
      <x:c r="G239" s="299" t="str">
        <x:v>Chart/list reconstructed from Gartner article/chart and public archival reproductions.</x:v>
      </x:c>
    </x:row>
    <x:row r="240">
      <x:c r="A240" s="300" t="n">
        <x:v>2024</x:v>
      </x:c>
      <x:c r="B240" s="299" t="str">
        <x:v>Large Action Models</x:v>
      </x:c>
      <x:c r="C240" s="300" t="str">
        <x:v>IT</x:v>
      </x:c>
      <x:c r="D240" s="299" t="str">
        <x:v>Innovation Trigger</x:v>
      </x:c>
      <x:c r="E240" s="299" t="str">
        <x:v>Business / Emerging Technology</x:v>
      </x:c>
      <x:c r="F240" s="299" t="str">
        <x:v>https://www.gartner.com/en/newsroom/press-releases/2024-08-21-gartner-2024-hype-cycle-for-emerging-technologies-highlights-developer-productivity-total-experience-ai-and-security</x:v>
      </x:c>
      <x:c r="G240" s="299" t="str">
        <x:v>Gartner report/article plus public chart/report copy used to reconstruct exact placements.</x:v>
      </x:c>
    </x:row>
    <x:row r="241">
      <x:c r="A241" s="300" t="n">
        <x:v>2024</x:v>
      </x:c>
      <x:c r="B241" s="299" t="str">
        <x:v>Humanoid Working Robots</x:v>
      </x:c>
      <x:c r="C241" s="300" t="str">
        <x:v>IT</x:v>
      </x:c>
      <x:c r="D241" s="299" t="str">
        <x:v>Innovation Trigger</x:v>
      </x:c>
      <x:c r="E241" s="299" t="str">
        <x:v>Autonomy / Robotics</x:v>
      </x:c>
      <x:c r="F241" s="299" t="str">
        <x:v>https://www.gartner.com/en/newsroom/press-releases/2024-08-21-gartner-2024-hype-cycle-for-emerging-technologies-highlights-developer-productivity-total-experience-ai-and-security</x:v>
      </x:c>
      <x:c r="G241" s="299" t="str">
        <x:v>Gartner report/article plus public chart/report copy used to reconstruct exact placements.</x:v>
      </x:c>
    </x:row>
    <x:row r="242">
      <x:c r="A242" s="300" t="n">
        <x:v>2024</x:v>
      </x:c>
      <x:c r="B242" s="299" t="str">
        <x:v>Spatial Computing</x:v>
      </x:c>
      <x:c r="C242" s="300" t="str">
        <x:v>IT</x:v>
      </x:c>
      <x:c r="D242" s="299" t="str">
        <x:v>Innovation Trigger</x:v>
      </x:c>
      <x:c r="E242" s="299" t="str">
        <x:v>Experience / Spatial Computing</x:v>
      </x:c>
      <x:c r="F242" s="299" t="str">
        <x:v>https://www.gartner.com/en/newsroom/press-releases/2024-08-21-gartner-2024-hype-cycle-for-emerging-technologies-highlights-developer-productivity-total-experience-ai-and-security</x:v>
      </x:c>
      <x:c r="G242" s="299" t="str">
        <x:v>Gartner report/article plus public chart/report copy used to reconstruct exact placements.</x:v>
      </x:c>
    </x:row>
    <x:row r="243">
      <x:c r="A243" s="300" t="n">
        <x:v>2024</x:v>
      </x:c>
      <x:c r="B243" s="299" t="str">
        <x:v>Digital Twin of a Customer</x:v>
      </x:c>
      <x:c r="C243" s="300" t="str">
        <x:v>IT</x:v>
      </x:c>
      <x:c r="D243" s="299" t="str">
        <x:v>Innovation Trigger</x:v>
      </x:c>
      <x:c r="E243" s="299" t="str">
        <x:v>Business / Emerging Technology</x:v>
      </x:c>
      <x:c r="F243" s="299" t="str">
        <x:v>https://www.gartner.com/en/newsroom/press-releases/2024-08-21-gartner-2024-hype-cycle-for-emerging-technologies-highlights-developer-productivity-total-experience-ai-and-security</x:v>
      </x:c>
      <x:c r="G243" s="299" t="str">
        <x:v>Gartner report/article plus public chart/report copy used to reconstruct exact placements.</x:v>
      </x:c>
    </x:row>
    <x:row r="244">
      <x:c r="A244" s="300" t="n">
        <x:v>2024</x:v>
      </x:c>
      <x:c r="B244" s="299" t="str">
        <x:v>Cybersecurity Mesh Architecture</x:v>
      </x:c>
      <x:c r="C244" s="300" t="str">
        <x:v>IT</x:v>
      </x:c>
      <x:c r="D244" s="299" t="str">
        <x:v>Innovation Trigger</x:v>
      </x:c>
      <x:c r="E244" s="299" t="str">
        <x:v>Security / Privacy</x:v>
      </x:c>
      <x:c r="F244" s="299" t="str">
        <x:v>https://www.gartner.com/en/newsroom/press-releases/2024-08-21-gartner-2024-hype-cycle-for-emerging-technologies-highlights-developer-productivity-total-experience-ai-and-security</x:v>
      </x:c>
      <x:c r="G244" s="299" t="str">
        <x:v>Gartner report/article plus public chart/report copy used to reconstruct exact placements.</x:v>
      </x:c>
    </x:row>
    <x:row r="245">
      <x:c r="A245" s="300" t="n">
        <x:v>2024</x:v>
      </x:c>
      <x:c r="B245" s="299" t="str">
        <x:v>Disinformation Security</x:v>
      </x:c>
      <x:c r="C245" s="300" t="str">
        <x:v>IT</x:v>
      </x:c>
      <x:c r="D245" s="299" t="str">
        <x:v>Innovation Trigger</x:v>
      </x:c>
      <x:c r="E245" s="299" t="str">
        <x:v>Security / Privacy</x:v>
      </x:c>
      <x:c r="F245" s="299" t="str">
        <x:v>https://www.gartner.com/en/newsroom/press-releases/2024-08-21-gartner-2024-hype-cycle-for-emerging-technologies-highlights-developer-productivity-total-experience-ai-and-security</x:v>
      </x:c>
      <x:c r="G245" s="299" t="str">
        <x:v>Gartner report/article plus public chart/report copy used to reconstruct exact placements.</x:v>
      </x:c>
    </x:row>
    <x:row r="246">
      <x:c r="A246" s="300" t="n">
        <x:v>2024</x:v>
      </x:c>
      <x:c r="B246" s="299" t="str">
        <x:v>Multiagent Systems</x:v>
      </x:c>
      <x:c r="C246" s="300" t="str">
        <x:v>IT</x:v>
      </x:c>
      <x:c r="D246" s="299" t="str">
        <x:v>Innovation Trigger</x:v>
      </x:c>
      <x:c r="E246" s="299" t="str">
        <x:v>Autonomy / Robotics</x:v>
      </x:c>
      <x:c r="F246" s="299" t="str">
        <x:v>https://www.gartner.com/en/newsroom/press-releases/2024-08-21-gartner-2024-hype-cycle-for-emerging-technologies-highlights-developer-productivity-total-experience-ai-and-security</x:v>
      </x:c>
      <x:c r="G246" s="299" t="str">
        <x:v>Gartner report/article plus public chart/report copy used to reconstruct exact placements.</x:v>
      </x:c>
    </x:row>
    <x:row r="247">
      <x:c r="A247" s="300" t="n">
        <x:v>2024</x:v>
      </x:c>
      <x:c r="B247" s="299" t="str">
        <x:v>6G</x:v>
      </x:c>
      <x:c r="C247" s="300" t="str">
        <x:v>IT</x:v>
      </x:c>
      <x:c r="D247" s="299" t="str">
        <x:v>Innovation Trigger</x:v>
      </x:c>
      <x:c r="E247" s="299" t="str">
        <x:v>Connectivity / Edge / IoT</x:v>
      </x:c>
      <x:c r="F247" s="299" t="str">
        <x:v>https://www.gartner.com/en/newsroom/press-releases/2024-08-21-gartner-2024-hype-cycle-for-emerging-technologies-highlights-developer-productivity-total-experience-ai-and-security</x:v>
      </x:c>
      <x:c r="G247" s="299" t="str">
        <x:v>Gartner report/article plus public chart/report copy used to reconstruct exact placements.</x:v>
      </x:c>
    </x:row>
    <x:row r="248">
      <x:c r="A248" s="300" t="n">
        <x:v>2024</x:v>
      </x:c>
      <x:c r="B248" s="299" t="str">
        <x:v>AI Supercomputing</x:v>
      </x:c>
      <x:c r="C248" s="300" t="str">
        <x:v>IT</x:v>
      </x:c>
      <x:c r="D248" s="299" t="str">
        <x:v>Innovation Trigger</x:v>
      </x:c>
      <x:c r="E248" s="299" t="str">
        <x:v>Advanced Computing</x:v>
      </x:c>
      <x:c r="F248" s="299" t="str">
        <x:v>https://www.gartner.com/en/newsroom/press-releases/2024-08-21-gartner-2024-hype-cycle-for-emerging-technologies-highlights-developer-productivity-total-experience-ai-and-security</x:v>
      </x:c>
      <x:c r="G248" s="299" t="str">
        <x:v>Gartner report/article plus public chart/report copy used to reconstruct exact placements.</x:v>
      </x:c>
    </x:row>
    <x:row r="249">
      <x:c r="A249" s="300" t="n">
        <x:v>2024</x:v>
      </x:c>
      <x:c r="B249" s="299" t="str">
        <x:v>Autonomous Agents</x:v>
      </x:c>
      <x:c r="C249" s="300" t="str">
        <x:v>IT</x:v>
      </x:c>
      <x:c r="D249" s="299" t="str">
        <x:v>Innovation Trigger</x:v>
      </x:c>
      <x:c r="E249" s="299" t="str">
        <x:v>Autonomy / Robotics</x:v>
      </x:c>
      <x:c r="F249" s="299" t="str">
        <x:v>https://www.gartner.com/en/newsroom/press-releases/2024-08-21-gartner-2024-hype-cycle-for-emerging-technologies-highlights-developer-productivity-total-experience-ai-and-security</x:v>
      </x:c>
      <x:c r="G249" s="299" t="str">
        <x:v>Gartner report/article plus public chart/report copy used to reconstruct exact placements.</x:v>
      </x:c>
    </x:row>
    <x:row r="250">
      <x:c r="A250" s="300" t="n">
        <x:v>2024</x:v>
      </x:c>
      <x:c r="B250" s="299" t="str">
        <x:v>Digital Immune System</x:v>
      </x:c>
      <x:c r="C250" s="300" t="str">
        <x:v>IT</x:v>
      </x:c>
      <x:c r="D250" s="299" t="str">
        <x:v>Innovation Trigger</x:v>
      </x:c>
      <x:c r="E250" s="299" t="str">
        <x:v>Business / Emerging Technology</x:v>
      </x:c>
      <x:c r="F250" s="299" t="str">
        <x:v>https://www.gartner.com/en/newsroom/press-releases/2024-08-21-gartner-2024-hype-cycle-for-emerging-technologies-highlights-developer-productivity-total-experience-ai-and-security</x:v>
      </x:c>
      <x:c r="G250" s="299" t="str">
        <x:v>Gartner report/article plus public chart/report copy used to reconstruct exact placements.</x:v>
      </x:c>
    </x:row>
    <x:row r="251">
      <x:c r="A251" s="300" t="n">
        <x:v>2024</x:v>
      </x:c>
      <x:c r="B251" s="299" t="str">
        <x:v>Artificial General Intelligence</x:v>
      </x:c>
      <x:c r="C251" s="300" t="str">
        <x:v>IT</x:v>
      </x:c>
      <x:c r="D251" s="299" t="str">
        <x:v>Innovation Trigger</x:v>
      </x:c>
      <x:c r="E251" s="299" t="str">
        <x:v>AI / Data / Analytics</x:v>
      </x:c>
      <x:c r="F251" s="299" t="str">
        <x:v>https://www.gartner.com/en/newsroom/press-releases/2024-08-21-gartner-2024-hype-cycle-for-emerging-technologies-highlights-developer-productivity-total-experience-ai-and-security</x:v>
      </x:c>
      <x:c r="G251" s="299" t="str">
        <x:v>Gartner report/article plus public chart/report copy used to reconstruct exact placements.</x:v>
      </x:c>
    </x:row>
    <x:row r="252">
      <x:c r="A252" s="300" t="n">
        <x:v>2024</x:v>
      </x:c>
      <x:c r="B252" s="299" t="str">
        <x:v>Reinforcement Learning</x:v>
      </x:c>
      <x:c r="C252" s="300" t="str">
        <x:v>IT</x:v>
      </x:c>
      <x:c r="D252" s="299" t="str">
        <x:v>Innovation Trigger</x:v>
      </x:c>
      <x:c r="E252" s="299" t="str">
        <x:v>AI / Data / Analytics</x:v>
      </x:c>
      <x:c r="F252" s="299" t="str">
        <x:v>https://www.gartner.com/en/newsroom/press-releases/2024-08-21-gartner-2024-hype-cycle-for-emerging-technologies-highlights-developer-productivity-total-experience-ai-and-security</x:v>
      </x:c>
      <x:c r="G252" s="299" t="str">
        <x:v>Gartner report/article plus public chart/report copy used to reconstruct exact placements.</x:v>
      </x:c>
    </x:row>
    <x:row r="253">
      <x:c r="A253" s="300" t="n">
        <x:v>2024</x:v>
      </x:c>
      <x:c r="B253" s="299" t="str">
        <x:v>Federated Machine Learning</x:v>
      </x:c>
      <x:c r="C253" s="300" t="str">
        <x:v>IT</x:v>
      </x:c>
      <x:c r="D253" s="299" t="str">
        <x:v>Innovation Trigger</x:v>
      </x:c>
      <x:c r="E253" s="299" t="str">
        <x:v>AI / Data / Analytics</x:v>
      </x:c>
      <x:c r="F253" s="299" t="str">
        <x:v>https://www.gartner.com/en/newsroom/press-releases/2024-08-21-gartner-2024-hype-cycle-for-emerging-technologies-highlights-developer-productivity-total-experience-ai-and-security</x:v>
      </x:c>
      <x:c r="G253" s="299" t="str">
        <x:v>Gartner report/article plus public chart/report copy used to reconstruct exact placements.</x:v>
      </x:c>
    </x:row>
    <x:row r="254">
      <x:c r="A254" s="300" t="n">
        <x:v>2024</x:v>
      </x:c>
      <x:c r="B254" s="299" t="str">
        <x:v>AI TRiSM</x:v>
      </x:c>
      <x:c r="C254" s="300" t="str">
        <x:v>PE</x:v>
      </x:c>
      <x:c r="D254" s="299" t="str">
        <x:v>Peak of Inflated Expectations</x:v>
      </x:c>
      <x:c r="E254" s="299" t="str">
        <x:v>AI / Data / Analytics</x:v>
      </x:c>
      <x:c r="F254" s="299" t="str">
        <x:v>https://www.gartner.com/en/newsroom/press-releases/2024-08-21-gartner-2024-hype-cycle-for-emerging-technologies-highlights-developer-productivity-total-experience-ai-and-security</x:v>
      </x:c>
      <x:c r="G254" s="299" t="str">
        <x:v>Gartner report/article plus public chart/report copy used to reconstruct exact placements.</x:v>
      </x:c>
    </x:row>
    <x:row r="255">
      <x:c r="A255" s="300" t="n">
        <x:v>2024</x:v>
      </x:c>
      <x:c r="B255" s="299" t="str">
        <x:v>Homomorphic Encryption</x:v>
      </x:c>
      <x:c r="C255" s="300" t="str">
        <x:v>PE</x:v>
      </x:c>
      <x:c r="D255" s="299" t="str">
        <x:v>Peak of Inflated Expectations</x:v>
      </x:c>
      <x:c r="E255" s="299" t="str">
        <x:v>Security / Privacy</x:v>
      </x:c>
      <x:c r="F255" s="299" t="str">
        <x:v>https://www.gartner.com/en/newsroom/press-releases/2024-08-21-gartner-2024-hype-cycle-for-emerging-technologies-highlights-developer-productivity-total-experience-ai-and-security</x:v>
      </x:c>
      <x:c r="G255" s="299" t="str">
        <x:v>Gartner report/article plus public chart/report copy used to reconstruct exact placements.</x:v>
      </x:c>
    </x:row>
    <x:row r="256">
      <x:c r="A256" s="300" t="n">
        <x:v>2024</x:v>
      </x:c>
      <x:c r="B256" s="299" t="str">
        <x:v>Prompt Engineering</x:v>
      </x:c>
      <x:c r="C256" s="300" t="str">
        <x:v>PE</x:v>
      </x:c>
      <x:c r="D256" s="299" t="str">
        <x:v>Peak of Inflated Expectations</x:v>
      </x:c>
      <x:c r="E256" s="299" t="str">
        <x:v>Business / Emerging Technology</x:v>
      </x:c>
      <x:c r="F256" s="299" t="str">
        <x:v>https://www.gartner.com/en/newsroom/press-releases/2024-08-21-gartner-2024-hype-cycle-for-emerging-technologies-highlights-developer-productivity-total-experience-ai-and-security</x:v>
      </x:c>
      <x:c r="G256" s="299" t="str">
        <x:v>Gartner report/article plus public chart/report copy used to reconstruct exact placements.</x:v>
      </x:c>
    </x:row>
    <x:row r="257">
      <x:c r="A257" s="300" t="n">
        <x:v>2024</x:v>
      </x:c>
      <x:c r="B257" s="299" t="str">
        <x:v>GitOps</x:v>
      </x:c>
      <x:c r="C257" s="300" t="str">
        <x:v>PE</x:v>
      </x:c>
      <x:c r="D257" s="299" t="str">
        <x:v>Peak of Inflated Expectations</x:v>
      </x:c>
      <x:c r="E257" s="299" t="str">
        <x:v>Cloud / Software Engineering</x:v>
      </x:c>
      <x:c r="F257" s="299" t="str">
        <x:v>https://www.gartner.com/en/newsroom/press-releases/2024-08-21-gartner-2024-hype-cycle-for-emerging-technologies-highlights-developer-productivity-total-experience-ai-and-security</x:v>
      </x:c>
      <x:c r="G257" s="299" t="str">
        <x:v>Gartner report/article plus public chart/report copy used to reconstruct exact placements.</x:v>
      </x:c>
    </x:row>
    <x:row r="258">
      <x:c r="A258" s="300" t="n">
        <x:v>2024</x:v>
      </x:c>
      <x:c r="B258" s="299" t="str">
        <x:v>Machine Customers</x:v>
      </x:c>
      <x:c r="C258" s="300" t="str">
        <x:v>PE</x:v>
      </x:c>
      <x:c r="D258" s="299" t="str">
        <x:v>Peak of Inflated Expectations</x:v>
      </x:c>
      <x:c r="E258" s="299" t="str">
        <x:v>Business / Emerging Technology</x:v>
      </x:c>
      <x:c r="F258" s="299" t="str">
        <x:v>https://www.gartner.com/en/newsroom/press-releases/2024-08-21-gartner-2024-hype-cycle-for-emerging-technologies-highlights-developer-productivity-total-experience-ai-and-security</x:v>
      </x:c>
      <x:c r="G258" s="299" t="str">
        <x:v>Gartner report/article plus public chart/report copy used to reconstruct exact placements.</x:v>
      </x:c>
    </x:row>
    <x:row r="259">
      <x:c r="A259" s="300" t="n">
        <x:v>2024</x:v>
      </x:c>
      <x:c r="B259" s="299" t="str">
        <x:v>Internal Developer Portals</x:v>
      </x:c>
      <x:c r="C259" s="300" t="str">
        <x:v>PE</x:v>
      </x:c>
      <x:c r="D259" s="299" t="str">
        <x:v>Peak of Inflated Expectations</x:v>
      </x:c>
      <x:c r="E259" s="299" t="str">
        <x:v>Cloud / Software Engineering</x:v>
      </x:c>
      <x:c r="F259" s="299" t="str">
        <x:v>https://www.gartner.com/en/newsroom/press-releases/2024-08-21-gartner-2024-hype-cycle-for-emerging-technologies-highlights-developer-productivity-total-experience-ai-and-security</x:v>
      </x:c>
      <x:c r="G259" s="299" t="str">
        <x:v>Gartner report/article plus public chart/report copy used to reconstruct exact placements.</x:v>
      </x:c>
    </x:row>
    <x:row r="260">
      <x:c r="A260" s="300" t="n">
        <x:v>2024</x:v>
      </x:c>
      <x:c r="B260" s="299" t="str">
        <x:v>AI-Augmented Software Engineering</x:v>
      </x:c>
      <x:c r="C260" s="300" t="str">
        <x:v>PE</x:v>
      </x:c>
      <x:c r="D260" s="299" t="str">
        <x:v>Peak of Inflated Expectations</x:v>
      </x:c>
      <x:c r="E260" s="299" t="str">
        <x:v>Cloud / Software Engineering</x:v>
      </x:c>
      <x:c r="F260" s="299" t="str">
        <x:v>https://www.gartner.com/en/newsroom/press-releases/2024-08-21-gartner-2024-hype-cycle-for-emerging-technologies-highlights-developer-productivity-total-experience-ai-and-security</x:v>
      </x:c>
      <x:c r="G260" s="299" t="str">
        <x:v>Gartner report/article plus public chart/report copy used to reconstruct exact placements.</x:v>
      </x:c>
    </x:row>
    <x:row r="261">
      <x:c r="A261" s="300" t="n">
        <x:v>2024</x:v>
      </x:c>
      <x:c r="B261" s="299" t="str">
        <x:v>Superapps</x:v>
      </x:c>
      <x:c r="C261" s="300" t="str">
        <x:v>PE</x:v>
      </x:c>
      <x:c r="D261" s="299" t="str">
        <x:v>Peak of Inflated Expectations</x:v>
      </x:c>
      <x:c r="E261" s="299" t="str">
        <x:v>Business / Emerging Technology</x:v>
      </x:c>
      <x:c r="F261" s="299" t="str">
        <x:v>https://www.gartner.com/en/newsroom/press-releases/2024-08-21-gartner-2024-hype-cycle-for-emerging-technologies-highlights-developer-productivity-total-experience-ai-and-security</x:v>
      </x:c>
      <x:c r="G261" s="299" t="str">
        <x:v>Gartner report/article plus public chart/report copy used to reconstruct exact placements.</x:v>
      </x:c>
    </x:row>
    <x:row r="262">
      <x:c r="A262" s="300" t="n">
        <x:v>2024</x:v>
      </x:c>
      <x:c r="B262" s="299" t="str">
        <x:v>Cloud-Native</x:v>
      </x:c>
      <x:c r="C262" s="300" t="str">
        <x:v>PE</x:v>
      </x:c>
      <x:c r="D262" s="299" t="str">
        <x:v>Peak of Inflated Expectations</x:v>
      </x:c>
      <x:c r="E262" s="299" t="str">
        <x:v>Cloud / Software Engineering</x:v>
      </x:c>
      <x:c r="F262" s="299" t="str">
        <x:v>https://www.gartner.com/en/newsroom/press-releases/2024-08-21-gartner-2024-hype-cycle-for-emerging-technologies-highlights-developer-productivity-total-experience-ai-and-security</x:v>
      </x:c>
      <x:c r="G262" s="299" t="str">
        <x:v>Gartner report/article plus public chart/report copy used to reconstruct exact placements.</x:v>
      </x:c>
    </x:row>
    <x:row r="263">
      <x:c r="A263" s="300" t="n">
        <x:v>2024</x:v>
      </x:c>
      <x:c r="B263" s="299" t="str">
        <x:v>WebAssembly</x:v>
      </x:c>
      <x:c r="C263" s="300" t="str">
        <x:v>PE</x:v>
      </x:c>
      <x:c r="D263" s="299" t="str">
        <x:v>Peak of Inflated Expectations</x:v>
      </x:c>
      <x:c r="E263" s="299" t="str">
        <x:v>Cloud / Software Engineering</x:v>
      </x:c>
      <x:c r="F263" s="299" t="str">
        <x:v>https://www.gartner.com/en/newsroom/press-releases/2024-08-21-gartner-2024-hype-cycle-for-emerging-technologies-highlights-developer-productivity-total-experience-ai-and-security</x:v>
      </x:c>
      <x:c r="G263" s="299" t="str">
        <x:v>Gartner report/article plus public chart/report copy used to reconstruct exact placements.</x:v>
      </x:c>
    </x:row>
    <x:row r="264">
      <x:c r="A264" s="300" t="n">
        <x:v>2024</x:v>
      </x:c>
      <x:c r="B264" s="299" t="str">
        <x:v>Generative AI</x:v>
      </x:c>
      <x:c r="C264" s="300" t="str">
        <x:v>TD</x:v>
      </x:c>
      <x:c r="D264" s="299" t="str">
        <x:v>Trough of Disillusionment</x:v>
      </x:c>
      <x:c r="E264" s="299" t="str">
        <x:v>AI / Data / Analytics</x:v>
      </x:c>
      <x:c r="F264" s="299" t="str">
        <x:v>https://www.gartner.com/en/newsroom/press-releases/2024-08-21-gartner-2024-hype-cycle-for-emerging-technologies-highlights-developer-productivity-total-experience-ai-and-security</x:v>
      </x:c>
      <x:c r="G264" s="299" t="str">
        <x:v>Gartner report/article plus public chart/report copy used to reconstruct exact placements.</x:v>
      </x:c>
    </x:row>
    <x:row r="265">
      <x:c r="A265" s="300" t="n">
        <x:v>2025</x:v>
      </x:c>
      <x:c r="B265" s="299" t="str">
        <x:v>Cybernetic Teammate</x:v>
      </x:c>
      <x:c r="C265" s="300" t="str">
        <x:v>IT</x:v>
      </x:c>
      <x:c r="D265" s="299" t="str">
        <x:v>Innovation Trigger</x:v>
      </x:c>
      <x:c r="E265" s="299" t="str">
        <x:v>Human Augmentation / Future of Work</x:v>
      </x:c>
      <x:c r="F265" s="299" t="str">
        <x:v>https://www.gartner.com/en/documents/6810534</x:v>
      </x:c>
      <x:c r="G265" s="299" t="str">
        <x:v>Exact label from public chart; phase boundary transcribed from chart geometry.</x:v>
      </x:c>
    </x:row>
    <x:row r="266">
      <x:c r="A266" s="300" t="n">
        <x:v>2025</x:v>
      </x:c>
      <x:c r="B266" s="299" t="str">
        <x:v>Cognitive Offloading</x:v>
      </x:c>
      <x:c r="C266" s="300" t="str">
        <x:v>IT</x:v>
      </x:c>
      <x:c r="D266" s="299" t="str">
        <x:v>Innovation Trigger</x:v>
      </x:c>
      <x:c r="E266" s="299" t="str">
        <x:v>Human Augmentation / Future of Work</x:v>
      </x:c>
      <x:c r="F266" s="299" t="str">
        <x:v>https://www.gartner.com/en/documents/6810534</x:v>
      </x:c>
      <x:c r="G266" s="299" t="str">
        <x:v>Exact label from public chart; phase boundary transcribed from chart geometry.</x:v>
      </x:c>
    </x:row>
    <x:row r="267">
      <x:c r="A267" s="300" t="n">
        <x:v>2025</x:v>
      </x:c>
      <x:c r="B267" s="299" t="str">
        <x:v>Humanoid Working Robots</x:v>
      </x:c>
      <x:c r="C267" s="300" t="str">
        <x:v>IT</x:v>
      </x:c>
      <x:c r="D267" s="299" t="str">
        <x:v>Innovation Trigger</x:v>
      </x:c>
      <x:c r="E267" s="299" t="str">
        <x:v>Autonomy / Robotics</x:v>
      </x:c>
      <x:c r="F267" s="299" t="str">
        <x:v>https://www.gartner.com/en/documents/6810534</x:v>
      </x:c>
      <x:c r="G267" s="299" t="str">
        <x:v>Exact label from public chart; phase boundary transcribed from chart geometry.</x:v>
      </x:c>
    </x:row>
    <x:row r="268">
      <x:c r="A268" s="300" t="n">
        <x:v>2025</x:v>
      </x:c>
      <x:c r="B268" s="299" t="str">
        <x:v>Meta Computing</x:v>
      </x:c>
      <x:c r="C268" s="300" t="str">
        <x:v>IT</x:v>
      </x:c>
      <x:c r="D268" s="299" t="str">
        <x:v>Innovation Trigger</x:v>
      </x:c>
      <x:c r="E268" s="299" t="str">
        <x:v>Business / Emerging Technology</x:v>
      </x:c>
      <x:c r="F268" s="299" t="str">
        <x:v>https://www.gartner.com/en/documents/6810534</x:v>
      </x:c>
      <x:c r="G268" s="299" t="str">
        <x:v>Exact label from public chart; phase boundary transcribed from chart geometry.</x:v>
      </x:c>
    </x:row>
    <x:row r="269">
      <x:c r="A269" s="300" t="n">
        <x:v>2025</x:v>
      </x:c>
      <x:c r="B269" s="299" t="str">
        <x:v>Adaptive Experiences</x:v>
      </x:c>
      <x:c r="C269" s="300" t="str">
        <x:v>IT</x:v>
      </x:c>
      <x:c r="D269" s="299" t="str">
        <x:v>Innovation Trigger</x:v>
      </x:c>
      <x:c r="E269" s="299" t="str">
        <x:v>Business / Emerging Technology</x:v>
      </x:c>
      <x:c r="F269" s="299" t="str">
        <x:v>https://www.gartner.com/en/documents/6810534</x:v>
      </x:c>
      <x:c r="G269" s="299" t="str">
        <x:v>Exact label from public chart; phase boundary transcribed from chart geometry.</x:v>
      </x:c>
    </x:row>
    <x:row r="270">
      <x:c r="A270" s="300" t="n">
        <x:v>2025</x:v>
      </x:c>
      <x:c r="B270" s="299" t="str">
        <x:v>Machine Sellers</x:v>
      </x:c>
      <x:c r="C270" s="300" t="str">
        <x:v>IT</x:v>
      </x:c>
      <x:c r="D270" s="299" t="str">
        <x:v>Innovation Trigger</x:v>
      </x:c>
      <x:c r="E270" s="299" t="str">
        <x:v>Business / Emerging Technology</x:v>
      </x:c>
      <x:c r="F270" s="299" t="str">
        <x:v>https://www.gartner.com/en/documents/6810534</x:v>
      </x:c>
      <x:c r="G270" s="299" t="str">
        <x:v>Exact label from public chart; phase boundary transcribed from chart geometry.</x:v>
      </x:c>
    </x:row>
    <x:row r="271">
      <x:c r="A271" s="300" t="n">
        <x:v>2025</x:v>
      </x:c>
      <x:c r="B271" s="299" t="str">
        <x:v>Physical AI</x:v>
      </x:c>
      <x:c r="C271" s="300" t="str">
        <x:v>IT</x:v>
      </x:c>
      <x:c r="D271" s="299" t="str">
        <x:v>Innovation Trigger</x:v>
      </x:c>
      <x:c r="E271" s="299" t="str">
        <x:v>AI / Data / Analytics</x:v>
      </x:c>
      <x:c r="F271" s="299" t="str">
        <x:v>https://www.gartner.com/en/documents/6810534</x:v>
      </x:c>
      <x:c r="G271" s="299" t="str">
        <x:v>Exact label from public chart; phase boundary transcribed from chart geometry.</x:v>
      </x:c>
    </x:row>
    <x:row r="272">
      <x:c r="A272" s="300" t="n">
        <x:v>2025</x:v>
      </x:c>
      <x:c r="B272" s="299" t="str">
        <x:v>Disinformation Security</x:v>
      </x:c>
      <x:c r="C272" s="300" t="str">
        <x:v>IT</x:v>
      </x:c>
      <x:c r="D272" s="299" t="str">
        <x:v>Innovation Trigger</x:v>
      </x:c>
      <x:c r="E272" s="299" t="str">
        <x:v>Security / Privacy</x:v>
      </x:c>
      <x:c r="F272" s="299" t="str">
        <x:v>https://www.gartner.com/en/documents/6810534</x:v>
      </x:c>
      <x:c r="G272" s="299" t="str">
        <x:v>Exact label from public chart; phase boundary transcribed from chart geometry.</x:v>
      </x:c>
    </x:row>
    <x:row r="273">
      <x:c r="A273" s="300" t="n">
        <x:v>2025</x:v>
      </x:c>
      <x:c r="B273" s="299" t="str">
        <x:v>Bidirectional Brain-Machine Interface</x:v>
      </x:c>
      <x:c r="C273" s="300" t="str">
        <x:v>IT</x:v>
      </x:c>
      <x:c r="D273" s="299" t="str">
        <x:v>Innovation Trigger</x:v>
      </x:c>
      <x:c r="E273" s="299" t="str">
        <x:v>Human Augmentation / Future of Work</x:v>
      </x:c>
      <x:c r="F273" s="299" t="str">
        <x:v>https://www.gartner.com/en/documents/6810534</x:v>
      </x:c>
      <x:c r="G273" s="299" t="str">
        <x:v>Exact label from public chart; phase boundary transcribed from chart geometry.</x:v>
      </x:c>
    </x:row>
    <x:row r="274">
      <x:c r="A274" s="300" t="n">
        <x:v>2025</x:v>
      </x:c>
      <x:c r="B274" s="299" t="str">
        <x:v>Model Context Protocol</x:v>
      </x:c>
      <x:c r="C274" s="300" t="str">
        <x:v>IT</x:v>
      </x:c>
      <x:c r="D274" s="299" t="str">
        <x:v>Innovation Trigger</x:v>
      </x:c>
      <x:c r="E274" s="299" t="str">
        <x:v>AI / Data / Analytics</x:v>
      </x:c>
      <x:c r="F274" s="299" t="str">
        <x:v>https://www.gartner.com/en/documents/6810534</x:v>
      </x:c>
      <x:c r="G274" s="299" t="str">
        <x:v>Exact label from public chart; phase boundary transcribed from chart geometry.</x:v>
      </x:c>
    </x:row>
    <x:row r="275">
      <x:c r="A275" s="300" t="n">
        <x:v>2025</x:v>
      </x:c>
      <x:c r="B275" s="299" t="str">
        <x:v>Fluid Knowledge</x:v>
      </x:c>
      <x:c r="C275" s="300" t="str">
        <x:v>IT</x:v>
      </x:c>
      <x:c r="D275" s="299" t="str">
        <x:v>Innovation Trigger</x:v>
      </x:c>
      <x:c r="E275" s="299" t="str">
        <x:v>Connectivity / Edge / IoT</x:v>
      </x:c>
      <x:c r="F275" s="299" t="str">
        <x:v>https://www.gartner.com/en/documents/6810534</x:v>
      </x:c>
      <x:c r="G275" s="299" t="str">
        <x:v>Exact label from public chart; phase boundary transcribed from chart geometry.</x:v>
      </x:c>
    </x:row>
    <x:row r="276">
      <x:c r="A276" s="300" t="n">
        <x:v>2025</x:v>
      </x:c>
      <x:c r="B276" s="299" t="str">
        <x:v>Geopatriation</x:v>
      </x:c>
      <x:c r="C276" s="300" t="str">
        <x:v>IT</x:v>
      </x:c>
      <x:c r="D276" s="299" t="str">
        <x:v>Innovation Trigger</x:v>
      </x:c>
      <x:c r="E276" s="299" t="str">
        <x:v>Business / Emerging Technology</x:v>
      </x:c>
      <x:c r="F276" s="299" t="str">
        <x:v>https://www.gartner.com/en/documents/6810534</x:v>
      </x:c>
      <x:c r="G276" s="299" t="str">
        <x:v>Exact label from public chart; phase boundary transcribed from chart geometry.</x:v>
      </x:c>
    </x:row>
    <x:row r="277">
      <x:c r="A277" s="300" t="n">
        <x:v>2025</x:v>
      </x:c>
      <x:c r="B277" s="299" t="str">
        <x:v>Vibe Coding</x:v>
      </x:c>
      <x:c r="C277" s="300" t="str">
        <x:v>IT</x:v>
      </x:c>
      <x:c r="D277" s="299" t="str">
        <x:v>Innovation Trigger</x:v>
      </x:c>
      <x:c r="E277" s="299" t="str">
        <x:v>Business / Emerging Technology</x:v>
      </x:c>
      <x:c r="F277" s="299" t="str">
        <x:v>https://www.gartner.com/en/documents/6810534</x:v>
      </x:c>
      <x:c r="G277" s="299" t="str">
        <x:v>Exact label from public chart; phase boundary transcribed from chart geometry.</x:v>
      </x:c>
    </x:row>
    <x:row r="278">
      <x:c r="A278" s="300" t="n">
        <x:v>2025</x:v>
      </x:c>
      <x:c r="B278" s="299" t="str">
        <x:v>Embodied AI</x:v>
      </x:c>
      <x:c r="C278" s="300" t="str">
        <x:v>IT</x:v>
      </x:c>
      <x:c r="D278" s="299" t="str">
        <x:v>Innovation Trigger</x:v>
      </x:c>
      <x:c r="E278" s="299" t="str">
        <x:v>AI / Data / Analytics</x:v>
      </x:c>
      <x:c r="F278" s="299" t="str">
        <x:v>https://www.gartner.com/en/documents/6810534</x:v>
      </x:c>
      <x:c r="G278" s="299" t="str">
        <x:v>Exact label from public chart; phase boundary transcribed from chart geometry.</x:v>
      </x:c>
    </x:row>
    <x:row r="279">
      <x:c r="A279" s="300" t="n">
        <x:v>2025</x:v>
      </x:c>
      <x:c r="B279" s="299" t="str">
        <x:v>Spatial Computing</x:v>
      </x:c>
      <x:c r="C279" s="300" t="str">
        <x:v>IT</x:v>
      </x:c>
      <x:c r="D279" s="299" t="str">
        <x:v>Innovation Trigger</x:v>
      </x:c>
      <x:c r="E279" s="299" t="str">
        <x:v>Experience / Spatial Computing</x:v>
      </x:c>
      <x:c r="F279" s="299" t="str">
        <x:v>https://www.gartner.com/en/documents/6810534</x:v>
      </x:c>
      <x:c r="G279" s="299" t="str">
        <x:v>Exact label from public chart; phase boundary transcribed from chart geometry.</x:v>
      </x:c>
    </x:row>
    <x:row r="280">
      <x:c r="A280" s="300" t="n">
        <x:v>2025</x:v>
      </x:c>
      <x:c r="B280" s="299" t="str">
        <x:v>Resource-Positive Buildings</x:v>
      </x:c>
      <x:c r="C280" s="300" t="str">
        <x:v>IT</x:v>
      </x:c>
      <x:c r="D280" s="299" t="str">
        <x:v>Innovation Trigger</x:v>
      </x:c>
      <x:c r="E280" s="299" t="str">
        <x:v>Sustainability</x:v>
      </x:c>
      <x:c r="F280" s="299" t="str">
        <x:v>https://www.gartner.com/en/documents/6810534</x:v>
      </x:c>
      <x:c r="G280" s="299" t="str">
        <x:v>Exact label from public chart; phase boundary transcribed from chart geometry.</x:v>
      </x:c>
    </x:row>
    <x:row r="281">
      <x:c r="A281" s="300" t="n">
        <x:v>2025</x:v>
      </x:c>
      <x:c r="B281" s="299" t="str">
        <x:v>Decision Intelligence</x:v>
      </x:c>
      <x:c r="C281" s="300" t="str">
        <x:v>PE</x:v>
      </x:c>
      <x:c r="D281" s="299" t="str">
        <x:v>Peak of Inflated Expectations</x:v>
      </x:c>
      <x:c r="E281" s="299" t="str">
        <x:v>AI / Data / Analytics</x:v>
      </x:c>
      <x:c r="F281" s="299" t="str">
        <x:v>https://www.gartner.com/en/documents/6810534</x:v>
      </x:c>
      <x:c r="G281" s="299" t="str">
        <x:v>Exact label from public chart; phase boundary transcribed from chart geometry.</x:v>
      </x:c>
    </x:row>
    <x:row r="282">
      <x:c r="A282" s="300" t="n">
        <x:v>2025</x:v>
      </x:c>
      <x:c r="B282" s="299" t="str">
        <x:v>Programmable Money</x:v>
      </x:c>
      <x:c r="C282" s="300" t="str">
        <x:v>PE</x:v>
      </x:c>
      <x:c r="D282" s="299" t="str">
        <x:v>Peak of Inflated Expectations</x:v>
      </x:c>
      <x:c r="E282" s="299" t="str">
        <x:v>Blockchain / Digital Assets</x:v>
      </x:c>
      <x:c r="F282" s="299" t="str">
        <x:v>https://www.gartner.com/en/documents/6810534</x:v>
      </x:c>
      <x:c r="G282" s="299" t="str">
        <x:v>Exact label from public chart; phase boundary transcribed from chart geometry.</x:v>
      </x:c>
    </x:row>
    <x:row r="283">
      <x:c r="A283" s="300" t="n">
        <x:v>2025</x:v>
      </x:c>
      <x:c r="B283" s="299" t="str">
        <x:v>Technological Sovereignty</x:v>
      </x:c>
      <x:c r="C283" s="300" t="str">
        <x:v>PE</x:v>
      </x:c>
      <x:c r="D283" s="299" t="str">
        <x:v>Peak of Inflated Expectations</x:v>
      </x:c>
      <x:c r="E283" s="299" t="str">
        <x:v>Business / Emerging Technology</x:v>
      </x:c>
      <x:c r="F283" s="299" t="str">
        <x:v>https://www.gartner.com/en/documents/6810534</x:v>
      </x:c>
      <x:c r="G283" s="299" t="str">
        <x:v>Exact label from public chart; phase boundary transcribed from chart geometry.</x:v>
      </x:c>
    </x:row>
    <x:row r="284">
      <x:c r="A284" s="300" t="n">
        <x:v>2025</x:v>
      </x:c>
      <x:c r="B284" s="299" t="str">
        <x:v>Intelligent Simulation</x:v>
      </x:c>
      <x:c r="C284" s="300" t="str">
        <x:v>PE</x:v>
      </x:c>
      <x:c r="D284" s="299" t="str">
        <x:v>Peak of Inflated Expectations</x:v>
      </x:c>
      <x:c r="E284" s="299" t="str">
        <x:v>Business / Emerging Technology</x:v>
      </x:c>
      <x:c r="F284" s="299" t="str">
        <x:v>https://www.gartner.com/en/documents/6810534</x:v>
      </x:c>
      <x:c r="G284" s="299" t="str">
        <x:v>Exact label from public chart; phase boundary transcribed from chart geometry.</x:v>
      </x:c>
    </x:row>
    <x:row r="285">
      <x:c r="A285" s="300" t="n">
        <x:v>2025</x:v>
      </x:c>
      <x:c r="B285" s="299" t="str">
        <x:v>Artificial General Intelligence</x:v>
      </x:c>
      <x:c r="C285" s="300" t="str">
        <x:v>PE</x:v>
      </x:c>
      <x:c r="D285" s="299" t="str">
        <x:v>Peak of Inflated Expectations</x:v>
      </x:c>
      <x:c r="E285" s="299" t="str">
        <x:v>AI / Data / Analytics</x:v>
      </x:c>
      <x:c r="F285" s="299" t="str">
        <x:v>https://www.gartner.com/en/documents/6810534</x:v>
      </x:c>
      <x:c r="G285" s="299" t="str">
        <x:v>Exact label from public chart; phase boundary transcribed from chart geometry.</x:v>
      </x:c>
    </x:row>
    <x:row r="286">
      <x:c r="A286" s="300" t="n">
        <x:v>2025</x:v>
      </x:c>
      <x:c r="B286" s="299" t="str">
        <x:v>Augmented Connected Workforce</x:v>
      </x:c>
      <x:c r="C286" s="300" t="str">
        <x:v>PE</x:v>
      </x:c>
      <x:c r="D286" s="299" t="str">
        <x:v>Peak of Inflated Expectations</x:v>
      </x:c>
      <x:c r="E286" s="299" t="str">
        <x:v>Human Augmentation / Future of Work</x:v>
      </x:c>
      <x:c r="F286" s="299" t="str">
        <x:v>https://www.gartner.com/en/documents/6810534</x:v>
      </x:c>
      <x:c r="G286" s="299" t="str">
        <x:v>Exact label from public chart; phase boundary transcribed from chart geometry.</x:v>
      </x:c>
    </x:row>
    <x:row r="287">
      <x:c r="A287" s="300" t="n">
        <x:v>2025</x:v>
      </x:c>
      <x:c r="B287" s="299" t="str">
        <x:v>Domain-Specific GenAI Models</x:v>
      </x:c>
      <x:c r="C287" s="300" t="str">
        <x:v>PE</x:v>
      </x:c>
      <x:c r="D287" s="299" t="str">
        <x:v>Peak of Inflated Expectations</x:v>
      </x:c>
      <x:c r="E287" s="299" t="str">
        <x:v>AI / Data / Analytics</x:v>
      </x:c>
      <x:c r="F287" s="299" t="str">
        <x:v>https://www.gartner.com/en/documents/6810534</x:v>
      </x:c>
      <x:c r="G287" s="299" t="str">
        <x:v>Exact label from public chart; phase boundary transcribed from chart geometry.</x:v>
      </x:c>
    </x:row>
    <x:row r="288">
      <x:c r="A288" s="300" t="n">
        <x:v>2025</x:v>
      </x:c>
      <x:c r="B288" s="299" t="str">
        <x:v>Crypto-Agility</x:v>
      </x:c>
      <x:c r="C288" s="300" t="str">
        <x:v>PE</x:v>
      </x:c>
      <x:c r="D288" s="299" t="str">
        <x:v>Peak of Inflated Expectations</x:v>
      </x:c>
      <x:c r="E288" s="299" t="str">
        <x:v>Security / Privacy</x:v>
      </x:c>
      <x:c r="F288" s="299" t="str">
        <x:v>https://www.gartner.com/en/documents/6810534</x:v>
      </x:c>
      <x:c r="G288" s="299" t="str">
        <x:v>Exact label from public chart; phase boundary transcribed from chart geometry.</x:v>
      </x:c>
    </x:row>
    <x:row r="289">
      <x:c r="A289" s="300" t="n">
        <x:v>2025</x:v>
      </x:c>
      <x:c r="B289" s="299" t="str">
        <x:v>Autonomous Sourcing</x:v>
      </x:c>
      <x:c r="C289" s="300" t="str">
        <x:v>PE</x:v>
      </x:c>
      <x:c r="D289" s="299" t="str">
        <x:v>Peak of Inflated Expectations</x:v>
      </x:c>
      <x:c r="E289" s="299" t="str">
        <x:v>Autonomy / Robotics</x:v>
      </x:c>
      <x:c r="F289" s="299" t="str">
        <x:v>https://www.gartner.com/en/documents/6810534</x:v>
      </x:c>
      <x:c r="G289" s="299" t="str">
        <x:v>Exact label from public chart; phase boundary transcribed from chart geometry.</x:v>
      </x:c>
    </x:row>
    <x:row r="290">
      <x:c r="A290" s="300" t="n">
        <x:v>2025</x:v>
      </x:c>
      <x:c r="B290" s="299" t="str">
        <x:v>Confidential Computing</x:v>
      </x:c>
      <x:c r="C290" s="300" t="str">
        <x:v>PE</x:v>
      </x:c>
      <x:c r="D290" s="299" t="str">
        <x:v>Peak of Inflated Expectations</x:v>
      </x:c>
      <x:c r="E290" s="299" t="str">
        <x:v>Business / Emerging Technology</x:v>
      </x:c>
      <x:c r="F290" s="299" t="str">
        <x:v>https://www.gartner.com/en/documents/6810534</x:v>
      </x:c>
      <x:c r="G290" s="299" t="str">
        <x:v>Exact label from public chart; phase boundary transcribed from chart geometry.</x:v>
      </x:c>
    </x:row>
    <x:row r="291">
      <x:c r="A291" s="300" t="n">
        <x:v>2025</x:v>
      </x:c>
      <x:c r="B291" s="299" t="str">
        <x:v>Digital Immune System</x:v>
      </x:c>
      <x:c r="C291" s="300" t="str">
        <x:v>PE</x:v>
      </x:c>
      <x:c r="D291" s="299" t="str">
        <x:v>Peak of Inflated Expectations</x:v>
      </x:c>
      <x:c r="E291" s="299" t="str">
        <x:v>Business / Emerging Technology</x:v>
      </x:c>
      <x:c r="F291" s="299" t="str">
        <x:v>https://www.gartner.com/en/documents/6810534</x:v>
      </x:c>
      <x:c r="G291" s="299" t="str">
        <x:v>Exact label from public chart; phase boundary transcribed from chart geometry.</x:v>
      </x:c>
    </x:row>
    <x:row r="292">
      <x:c r="A292" s="300" t="n">
        <x:v>2025</x:v>
      </x:c>
      <x:c r="B292" s="299" t="str">
        <x:v>AI Agents</x:v>
      </x:c>
      <x:c r="C292" s="300" t="str">
        <x:v>PE</x:v>
      </x:c>
      <x:c r="D292" s="299" t="str">
        <x:v>Peak of Inflated Expectations</x:v>
      </x:c>
      <x:c r="E292" s="299" t="str">
        <x:v>Autonomy / Robotics</x:v>
      </x:c>
      <x:c r="F292" s="299" t="str">
        <x:v>https://www.gartner.com/en/documents/6810534</x:v>
      </x:c>
      <x:c r="G292" s="299" t="str">
        <x:v>Exact label from public chart; phase boundary transcribed from chart geometry.</x:v>
      </x:c>
    </x:row>
    <x:row r="293">
      <x:c r="A293" s="300" t="n">
        <x:v>2025</x:v>
      </x:c>
      <x:c r="B293" s="299" t="str">
        <x:v>Machine Customers</x:v>
      </x:c>
      <x:c r="C293" s="300" t="str">
        <x:v>PE</x:v>
      </x:c>
      <x:c r="D293" s="299" t="str">
        <x:v>Peak of Inflated Expectations</x:v>
      </x:c>
      <x:c r="E293" s="299" t="str">
        <x:v>Business / Emerging Technology</x:v>
      </x:c>
      <x:c r="F293" s="299" t="str">
        <x:v>https://www.gartner.com/en/documents/6810534</x:v>
      </x:c>
      <x:c r="G293" s="299" t="str">
        <x:v>Exact label from public chart; phase boundary transcribed from chart geometry.</x:v>
      </x:c>
    </x:row>
    <x:row r="294">
      <x:c r="A294" s="302" t="n">
        <x:v>2025</x:v>
      </x:c>
      <x:c r="B294" s="301" t="str">
        <x:v>Homomorphic Encryption</x:v>
      </x:c>
      <x:c r="C294" s="302" t="str">
        <x:v>PE</x:v>
      </x:c>
      <x:c r="D294" s="301" t="str">
        <x:v>Peak of Inflated Expectations</x:v>
      </x:c>
      <x:c r="E294" s="301" t="str">
        <x:v>Security / Privacy</x:v>
      </x:c>
      <x:c r="F294" s="301" t="str">
        <x:v>https://www.gartner.com/en/documents/6810534</x:v>
      </x:c>
      <x:c r="G294" s="301" t="str">
        <x:v>Exact label from public chart; phase boundary transcribed from chart geometry.</x:v>
      </x:c>
    </x:row>
  </x:sheetData>
  <x:mergeCells>
    <x:mergeCell ref="A1:G1"/>
    <x:mergeCell ref="A2:G2"/>
  </x:mergeCells>
  <x:conditionalFormatting sqref="C5:C294">
    <x:cfRule type="expression" dxfId="5" priority="1">
      <x:formula>C5="IT"</x:formula>
    </x:cfRule>
    <x:cfRule type="expression" dxfId="6" priority="2">
      <x:formula>C5="PE"</x:formula>
    </x:cfRule>
    <x:cfRule type="expression" dxfId="7" priority="3">
      <x:formula>C5="TD"</x:formula>
    </x:cfRule>
    <x:cfRule type="expression" dxfId="8" priority="4">
      <x:formula>C5="SE"</x:formula>
    </x:cfRule>
    <x:cfRule type="expression" dxfId="9" priority="5">
      <x:formula>C5="PP"</x:formula>
    </x:cfRule>
  </x:conditionalFormatting>
  <x:pageMargins left="0.7" right="0.7" top="0.75" bottom="0.75" header="0.3" footer="0.3"/>
  <x:tableParts count="1">
    <x:tablePart xmlns:r="http://schemas.openxmlformats.org/officeDocument/2006/relationships" r:id="R54a8965270b141b7"/>
  </x:tableParts>
</x:worksheet>
</file>

<file path=xl/worksheets/sheet4.xml><?xml version="1.0" encoding="utf-8"?>
<x:worksheet xmlns:x="http://schemas.openxmlformats.org/spreadsheetml/2006/main">
  <x:sheetFormatPr defaultRowHeight="15"/>
  <x:cols>
    <x:col min="1" max="1" width="30" hidden="0" customWidth="1"/>
    <x:col min="2" max="2" width="28" hidden="0" customWidth="1"/>
    <x:col min="3" max="3" width="26" hidden="0" customWidth="1"/>
    <x:col min="4" max="4" width="54" hidden="0" customWidth="1"/>
    <x:col min="5" max="5" width="24" hidden="0" customWidth="1"/>
    <x:col min="6" max="6" width="55" hidden="0" customWidth="1"/>
    <x:col min="7" max="7" width="52" hidden="0" customWidth="1"/>
  </x:cols>
  <x:sheetData>
    <x:row r="1" ht="22" customHeight="1">
      <x:c r="A1" s="258" t="str">
        <x:v>2026 Update — Publicly Verifiable Subset</x:v>
      </x:c>
      <x:c r="B1" s="258"/>
      <x:c r="C1" s="258"/>
      <x:c r="D1" s="258"/>
      <x:c r="E1" s="258"/>
      <x:c r="F1" s="309"/>
      <x:c r="G1" s="258"/>
    </x:row>
    <x:row r="2" ht="32" customHeight="1">
      <x:c r="A2" s="261" t="str">
        <x:v>Gartner published the 2026 Emerging Technologies Hype Cycle on 23 July 2026 and confirms 30 technologies. The full plotted list and exact positions are client-gated, so this sheet deliberately does NOT pretend to be a complete 2026 matrix. Rows below are only items or movements that can be corroborated from public material; ‘not publicly verified’ means the exact phase is intentionally left blank.</x:v>
      </x:c>
      <x:c r="B2" s="261"/>
      <x:c r="C2" s="261"/>
      <x:c r="D2" s="261"/>
      <x:c r="E2" s="261"/>
      <x:c r="F2" s="310"/>
      <x:c r="G2" s="261"/>
    </x:row>
    <x:row r="3" ht="46" customHeight="1">
      <x:c r="A3" s="198"/>
      <x:c r="B3" s="198"/>
      <x:c r="C3" s="198"/>
      <x:c r="D3" s="198"/>
      <x:c r="E3" s="198"/>
      <x:c r="F3" s="198"/>
      <x:c r="G3" s="198"/>
    </x:row>
    <x:row r="4">
      <x:c r="A4" s="195"/>
      <x:c r="B4" s="195"/>
      <x:c r="C4" s="195"/>
      <x:c r="D4" s="195"/>
      <x:c r="E4" s="195"/>
      <x:c r="F4" s="195"/>
      <x:c r="G4" s="195"/>
    </x:row>
    <x:row r="5" ht="24" customHeight="1">
      <x:c r="A5" s="320" t="str">
        <x:v>Technology / profile</x:v>
      </x:c>
      <x:c r="B5" s="320" t="str">
        <x:v>2026 phase</x:v>
      </x:c>
      <x:c r="C5" s="320" t="str">
        <x:v>Status vs 2025</x:v>
      </x:c>
      <x:c r="D5" s="320" t="str">
        <x:v>Publicly reported movement / role</x:v>
      </x:c>
      <x:c r="E5" s="320" t="str">
        <x:v>Confidence</x:v>
      </x:c>
      <x:c r="F5" s="320" t="str">
        <x:v>Source URL</x:v>
      </x:c>
      <x:c r="G5" s="320" t="str">
        <x:v>Notes</x:v>
      </x:c>
    </x:row>
    <x:row r="6">
      <x:c r="A6" s="299" t="str">
        <x:v>Model Context Protocol</x:v>
      </x:c>
      <x:c r="B6" s="300" t="str">
        <x:v>Peak of Inflated Expectations</x:v>
      </x:c>
      <x:c r="C6" s="299" t="str">
        <x:v>Carried over</x:v>
      </x:c>
      <x:c r="D6" s="299" t="str">
        <x:v>Reported to have moved from mid-Innovation Trigger (2025) to the Peak in 2026.</x:v>
      </x:c>
      <x:c r="E6" s="300" t="str">
        <x:v>Secondary corroboration</x:v>
      </x:c>
      <x:c r="F6" s="299" t="str">
        <x:v>https://telegram.me/s/cdo_club?before=3002</x:v>
      </x:c>
      <x:c r="G6" s="299" t="str">
        <x:v>Exact 2026 chart is client-gated; movement reported in public commentary summarising Gartner.</x:v>
      </x:c>
    </x:row>
    <x:row r="7">
      <x:c r="A7" s="299" t="str">
        <x:v>Multiagent Systems</x:v>
      </x:c>
      <x:c r="B7" s="300" t="str">
        <x:v>Peak of Inflated Expectations</x:v>
      </x:c>
      <x:c r="C7" s="299" t="str">
        <x:v>Returned / specialised agent category</x:v>
      </x:c>
      <x:c r="D7" s="299" t="str">
        <x:v>Reported alongside MCP and Machine Customers at/near the Peak.</x:v>
      </x:c>
      <x:c r="E7" s="300" t="str">
        <x:v>Secondary corroboration</x:v>
      </x:c>
      <x:c r="F7" s="299" t="str">
        <x:v>https://telegram.me/s/cdo_club?before=3002</x:v>
      </x:c>
      <x:c r="G7" s="299" t="str">
        <x:v>Also publicly confirmed as a profile in the 2026 flagship by a Gartner-cited vendor page.</x:v>
      </x:c>
    </x:row>
    <x:row r="8">
      <x:c r="A8" s="299" t="str">
        <x:v>Machine Customers</x:v>
      </x:c>
      <x:c r="B8" s="300" t="str">
        <x:v>Peak of Inflated Expectations</x:v>
      </x:c>
      <x:c r="C8" s="299" t="str">
        <x:v>Carried over</x:v>
      </x:c>
      <x:c r="D8" s="299" t="str">
        <x:v>Reported to remain at/near the Peak.</x:v>
      </x:c>
      <x:c r="E8" s="300" t="str">
        <x:v>Secondary corroboration</x:v>
      </x:c>
      <x:c r="F8" s="299" t="str">
        <x:v>https://telegram.me/s/cdo_club?before=3002</x:v>
      </x:c>
      <x:c r="G8" s="299" t="str">
        <x:v>2024 and 2025 flagship placement was already at the Peak.</x:v>
      </x:c>
    </x:row>
    <x:row r="9">
      <x:c r="A9" s="299" t="str">
        <x:v>Agent Management Platform</x:v>
      </x:c>
      <x:c r="B9" s="300" t="str">
        <x:v>Not publicly verified</x:v>
      </x:c>
      <x:c r="C9" s="299" t="str">
        <x:v>New / agent specialisation</x:v>
      </x:c>
      <x:c r="D9" s="299" t="str">
        <x:v>One of several profiles reported to replace the broad 2025 ‘AI Agents’ umbrella.</x:v>
      </x:c>
      <x:c r="E9" s="300" t="str">
        <x:v>Secondary only</x:v>
      </x:c>
      <x:c r="F9" s="299" t="str">
        <x:v>https://telegram.me/s/cdo_club?before=3002</x:v>
      </x:c>
      <x:c r="G9" s="299" t="str">
        <x:v>Phase deliberately not assigned.</x:v>
      </x:c>
    </x:row>
    <x:row r="10">
      <x:c r="A10" s="299" t="str">
        <x:v>Agent Marketplace</x:v>
      </x:c>
      <x:c r="B10" s="300" t="str">
        <x:v>Not publicly verified</x:v>
      </x:c>
      <x:c r="C10" s="299" t="str">
        <x:v>New / agent specialisation</x:v>
      </x:c>
      <x:c r="D10" s="299" t="str">
        <x:v>Reported specialist agent category.</x:v>
      </x:c>
      <x:c r="E10" s="300" t="str">
        <x:v>Secondary only</x:v>
      </x:c>
      <x:c r="F10" s="299" t="str">
        <x:v>https://telegram.me/s/cdo_club?before=3002</x:v>
      </x:c>
      <x:c r="G10" s="299" t="str">
        <x:v>Phase deliberately not assigned.</x:v>
      </x:c>
    </x:row>
    <x:row r="11">
      <x:c r="A11" s="299" t="str">
        <x:v>Guardian Agent</x:v>
      </x:c>
      <x:c r="B11" s="300" t="str">
        <x:v>Not publicly verified</x:v>
      </x:c>
      <x:c r="C11" s="299" t="str">
        <x:v>New / agent specialisation</x:v>
      </x:c>
      <x:c r="D11" s="299" t="str">
        <x:v>Reported specialist agent governance / oversight category.</x:v>
      </x:c>
      <x:c r="E11" s="300" t="str">
        <x:v>Secondary only</x:v>
      </x:c>
      <x:c r="F11" s="299" t="str">
        <x:v>https://telegram.me/s/cdo_club?before=3002</x:v>
      </x:c>
      <x:c r="G11" s="299" t="str">
        <x:v>Phase deliberately not assigned.</x:v>
      </x:c>
    </x:row>
    <x:row r="12">
      <x:c r="A12" s="299" t="str">
        <x:v>No-Code Agent Builders</x:v>
      </x:c>
      <x:c r="B12" s="300" t="str">
        <x:v>Not publicly verified</x:v>
      </x:c>
      <x:c r="C12" s="299" t="str">
        <x:v>New / agent specialisation</x:v>
      </x:c>
      <x:c r="D12" s="299" t="str">
        <x:v>Reported specialist agent-building category.</x:v>
      </x:c>
      <x:c r="E12" s="300" t="str">
        <x:v>Secondary only</x:v>
      </x:c>
      <x:c r="F12" s="299" t="str">
        <x:v>https://telegram.me/s/cdo_club?before=3002</x:v>
      </x:c>
      <x:c r="G12" s="299" t="str">
        <x:v>Phase deliberately not assigned.</x:v>
      </x:c>
    </x:row>
    <x:row r="13">
      <x:c r="A13" s="299" t="str">
        <x:v>Physical AI Agents</x:v>
      </x:c>
      <x:c r="B13" s="300" t="str">
        <x:v>Not publicly verified</x:v>
      </x:c>
      <x:c r="C13" s="299" t="str">
        <x:v>New / agent specialisation</x:v>
      </x:c>
      <x:c r="D13" s="299" t="str">
        <x:v>Reported specialist category linking agentic AI to physical systems.</x:v>
      </x:c>
      <x:c r="E13" s="300" t="str">
        <x:v>Secondary only</x:v>
      </x:c>
      <x:c r="F13" s="299" t="str">
        <x:v>https://telegram.me/s/cdo_club?before=3002</x:v>
      </x:c>
      <x:c r="G13" s="299" t="str">
        <x:v>Phase deliberately not assigned.</x:v>
      </x:c>
    </x:row>
    <x:row r="14">
      <x:c r="A14" s="299" t="str">
        <x:v>AI Toolmate</x:v>
      </x:c>
      <x:c r="B14" s="300" t="str">
        <x:v>Not publicly verified</x:v>
      </x:c>
      <x:c r="C14" s="299" t="str">
        <x:v>New / agent specialisation</x:v>
      </x:c>
      <x:c r="D14" s="299" t="str">
        <x:v>Reported specialist human/AI work category.</x:v>
      </x:c>
      <x:c r="E14" s="300" t="str">
        <x:v>Secondary only</x:v>
      </x:c>
      <x:c r="F14" s="299" t="str">
        <x:v>https://telegram.me/s/cdo_club?before=3002</x:v>
      </x:c>
      <x:c r="G14" s="299" t="str">
        <x:v>Phase deliberately not assigned.</x:v>
      </x:c>
    </x:row>
    <x:row r="15">
      <x:c r="A15" s="299" t="str">
        <x:v>Context Graphs</x:v>
      </x:c>
      <x:c r="B15" s="300" t="str">
        <x:v>Not publicly verified</x:v>
      </x:c>
      <x:c r="C15" s="299" t="str">
        <x:v>New / agent specialisation</x:v>
      </x:c>
      <x:c r="D15" s="299" t="str">
        <x:v>Reported specialist context layer for agentic systems.</x:v>
      </x:c>
      <x:c r="E15" s="300" t="str">
        <x:v>Secondary only</x:v>
      </x:c>
      <x:c r="F15" s="299" t="str">
        <x:v>https://telegram.me/s/cdo_club?before=3002</x:v>
      </x:c>
      <x:c r="G15" s="299" t="str">
        <x:v>Phase deliberately not assigned.</x:v>
      </x:c>
    </x:row>
    <x:row r="16">
      <x:c r="A16" s="299"/>
      <x:c r="B16" s="299"/>
      <x:c r="C16" s="299"/>
      <x:c r="D16" s="299"/>
      <x:c r="E16" s="299"/>
      <x:c r="F16" s="299"/>
      <x:c r="G16" s="299"/>
    </x:row>
    <x:row r="17">
      <x:c r="A17" s="299"/>
      <x:c r="B17" s="299"/>
      <x:c r="C17" s="299"/>
      <x:c r="D17" s="299"/>
      <x:c r="E17" s="299"/>
      <x:c r="F17" s="299"/>
      <x:c r="G17" s="299"/>
    </x:row>
    <x:row r="18">
      <x:c r="A18" s="303" t="str">
        <x:v>What Gartner officially confirms for 2026</x:v>
      </x:c>
      <x:c r="B18" s="303"/>
      <x:c r="C18" s="303"/>
      <x:c r="D18" s="303"/>
      <x:c r="E18" s="303"/>
      <x:c r="F18" s="303"/>
      <x:c r="G18" s="303"/>
    </x:row>
    <x:row r="19">
      <x:c r="A19" s="299" t="str">
        <x:v>Publication date</x:v>
      </x:c>
      <x:c r="B19" s="299" t="str">
        <x:v>23 July 2026</x:v>
      </x:c>
      <x:c r="C19" s="299" t="str"/>
      <x:c r="D19" s="299" t="str"/>
      <x:c r="E19" s="299" t="str"/>
      <x:c r="F19" s="299" t="str"/>
      <x:c r="G19" s="299" t="str"/>
    </x:row>
    <x:row r="20">
      <x:c r="A20" s="299" t="str">
        <x:v>Number of technologies</x:v>
      </x:c>
      <x:c r="B20" s="299" t="n">
        <x:v>30</x:v>
      </x:c>
      <x:c r="C20" s="299" t="str"/>
      <x:c r="D20" s="299" t="str"/>
      <x:c r="E20" s="299" t="str"/>
      <x:c r="F20" s="299" t="str"/>
      <x:c r="G20" s="299" t="str"/>
    </x:row>
    <x:row r="21">
      <x:c r="A21" s="299" t="str">
        <x:v>Outcome 1</x:v>
      </x:c>
      <x:c r="B21" s="299" t="str">
        <x:v>Redistribute decisions among humans and autonomous machines</x:v>
      </x:c>
      <x:c r="C21" s="299" t="str"/>
      <x:c r="D21" s="299" t="str"/>
      <x:c r="E21" s="299" t="str"/>
      <x:c r="F21" s="299" t="str"/>
      <x:c r="G21" s="299" t="str"/>
    </x:row>
    <x:row r="22">
      <x:c r="A22" s="299" t="str">
        <x:v>Outcome 2</x:v>
      </x:c>
      <x:c r="B22" s="299" t="str">
        <x:v>Fuse realities via phygital convergence with smart simulation</x:v>
      </x:c>
      <x:c r="C22" s="299" t="str"/>
      <x:c r="D22" s="299" t="str"/>
      <x:c r="E22" s="299" t="str"/>
      <x:c r="F22" s="299" t="str"/>
      <x:c r="G22" s="299" t="str"/>
    </x:row>
    <x:row r="23">
      <x:c r="A23" s="299" t="str">
        <x:v>Outcome 3</x:v>
      </x:c>
      <x:c r="B23" s="299" t="str">
        <x:v>Deploy new technical foundations</x:v>
      </x:c>
      <x:c r="C23" s="299" t="str"/>
      <x:c r="D23" s="299" t="str"/>
      <x:c r="E23" s="299" t="str"/>
      <x:c r="F23" s="299" t="str"/>
      <x:c r="G23" s="299" t="str"/>
    </x:row>
    <x:row r="24">
      <x:c r="A24" s="299" t="str">
        <x:v>Outcome 4</x:v>
      </x:c>
      <x:c r="B24" s="299" t="str">
        <x:v>Anchor growth in human-centered trust</x:v>
      </x:c>
      <x:c r="C24" s="299" t="str"/>
      <x:c r="D24" s="299" t="str"/>
      <x:c r="E24" s="299" t="str"/>
      <x:c r="F24" s="299" t="str"/>
      <x:c r="G24" s="299" t="str"/>
    </x:row>
    <x:row r="25">
      <x:c r="A25" s="301" t="str">
        <x:v>Official report</x:v>
      </x:c>
      <x:c r="B25" s="301" t="str">
        <x:v>https://www.gartner.com/en/documents/8163629</x:v>
      </x:c>
      <x:c r="C25" s="301" t="str"/>
      <x:c r="D25" s="301" t="str"/>
      <x:c r="E25" s="301" t="str"/>
      <x:c r="F25" s="301" t="str"/>
      <x:c r="G25" s="301" t="str"/>
    </x:row>
  </x:sheetData>
  <x:mergeCells>
    <x:mergeCell ref="A1:G1"/>
    <x:mergeCell ref="A2:G3"/>
    <x:mergeCell ref="A18:G18"/>
  </x:mergeCells>
  <x:conditionalFormatting sqref="B6:B15">
    <x:cfRule type="expression" dxfId="15" priority="1">
      <x:formula>B6="Peak of Inflated Expectations"</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72" hidden="0" customWidth="1"/>
    <x:col min="3" max="3" width="32" hidden="0" customWidth="1"/>
    <x:col min="4" max="4" width="62" hidden="0" customWidth="1"/>
    <x:col min="5" max="5" width="18" hidden="0" customWidth="1"/>
    <x:col min="6" max="6" width="18" hidden="0" customWidth="1"/>
  </x:cols>
  <x:sheetData>
    <x:row r="1" ht="22" customHeight="1">
      <x:c r="A1" s="258" t="str">
        <x:v>Legend, Methodology &amp; Sources</x:v>
      </x:c>
      <x:c r="B1" s="258"/>
      <x:c r="C1" s="258"/>
      <x:c r="D1" s="258"/>
      <x:c r="E1" s="3"/>
      <x:c r="F1" s="3"/>
    </x:row>
    <x:row r="2" ht="32" customHeight="1">
      <x:c r="A2" s="261"/>
      <x:c r="B2" s="261"/>
      <x:c r="C2" s="261"/>
      <x:c r="D2" s="261"/>
    </x:row>
    <x:row r="3" ht="24" customHeight="1">
      <x:c r="A3" s="321" t="str">
        <x:v>Code</x:v>
      </x:c>
      <x:c r="B3" s="321" t="str">
        <x:v>Gartner phase</x:v>
      </x:c>
      <x:c r="C3" s="321" t="str">
        <x:v>Interpretation</x:v>
      </x:c>
      <x:c r="D3" s="321"/>
    </x:row>
    <x:row r="4">
      <x:c r="A4" s="194" t="str">
        <x:v>IT</x:v>
      </x:c>
      <x:c r="B4" s="195" t="str">
        <x:v>Innovation Trigger</x:v>
      </x:c>
      <x:c r="C4" s="195" t="str">
        <x:v>A breakthrough, product launch or other event creates attention; commercial viability remains unproven.</x:v>
      </x:c>
      <x:c r="D4" s="195"/>
    </x:row>
    <x:row r="5">
      <x:c r="A5" s="194" t="str">
        <x:v>PE</x:v>
      </x:c>
      <x:c r="B5" s="195" t="str">
        <x:v>Peak of Inflated Expectations</x:v>
      </x:c>
      <x:c r="C5" s="195" t="str">
        <x:v>Usage and publicity grow faster than demonstrated value; expectations are often unrealistic.</x:v>
      </x:c>
      <x:c r="D5" s="195"/>
    </x:row>
    <x:row r="6">
      <x:c r="A6" s="194" t="str">
        <x:v>TD</x:v>
      </x:c>
      <x:c r="B6" s="195" t="str">
        <x:v>Trough of Disillusionment</x:v>
      </x:c>
      <x:c r="C6" s="195" t="str">
        <x:v>Excitement falls as performance issues, weak ROI and failed implementations become visible.</x:v>
      </x:c>
      <x:c r="D6" s="195"/>
    </x:row>
    <x:row r="7">
      <x:c r="A7" s="194" t="str">
        <x:v>SE</x:v>
      </x:c>
      <x:c r="B7" s="195" t="str">
        <x:v>Slope of Enlightenment</x:v>
      </x:c>
      <x:c r="C7" s="195" t="str">
        <x:v>More practical understanding develops and early adopters identify repeatable benefits.</x:v>
      </x:c>
      <x:c r="D7" s="195"/>
    </x:row>
    <x:row r="8">
      <x:c r="A8" s="194" t="str">
        <x:v>PP</x:v>
      </x:c>
      <x:c r="B8" s="195" t="str">
        <x:v>Plateau of Productivity</x:v>
      </x:c>
      <x:c r="C8" s="195" t="str">
        <x:v>Adoption broadens and real-world value becomes mainstream.</x:v>
      </x:c>
      <x:c r="D8" s="195"/>
    </x:row>
    <x:row r="9">
      <x:c r="A9" s="195"/>
      <x:c r="B9" s="195"/>
      <x:c r="C9" s="195"/>
      <x:c r="D9" s="195"/>
    </x:row>
    <x:row r="10">
      <x:c r="A10" s="195"/>
      <x:c r="B10" s="195"/>
      <x:c r="C10" s="195"/>
      <x:c r="D10" s="195"/>
    </x:row>
    <x:row r="11" ht="24" customHeight="1">
      <x:c r="A11" s="321" t="str">
        <x:v>How to interpret ‘outcome’</x:v>
      </x:c>
      <x:c r="B11" s="321"/>
      <x:c r="C11" s="321"/>
      <x:c r="D11" s="321"/>
      <x:c r="E11" s="120"/>
      <x:c r="F11" s="120"/>
    </x:row>
    <x:row r="12">
      <x:c r="A12" s="194" t="str">
        <x:v>Established / mainstream</x:v>
      </x:c>
      <x:c r="B12" s="195" t="str">
        <x:v>Commercially established or embedded in mainstream products/processes.</x:v>
      </x:c>
      <x:c r="C12" s="195"/>
      <x:c r="D12" s="195"/>
    </x:row>
    <x:row r="13">
      <x:c r="A13" s="194" t="str">
        <x:v>Established / specialist</x:v>
      </x:c>
      <x:c r="B13" s="195" t="str">
        <x:v>Real production use exists, but adoption remains workload/industry-specific.</x:v>
      </x:c>
      <x:c r="C13" s="195"/>
      <x:c r="D13" s="195"/>
    </x:row>
    <x:row r="14">
      <x:c r="A14" s="194" t="str">
        <x:v>Hype cooled / niche</x:v>
      </x:c>
      <x:c r="B14" s="195" t="str">
        <x:v>Original broad hype weakened; narrower applications remain.</x:v>
      </x:c>
      <x:c r="C14" s="195"/>
      <x:c r="D14" s="195"/>
    </x:row>
    <x:row r="15">
      <x:c r="A15" s="194" t="str">
        <x:v>Still emerging / long-horizon</x:v>
      </x:c>
      <x:c r="B15" s="195" t="str">
        <x:v>Research-heavy or constrained by engineering, economics, regulation or deployment scale.</x:v>
      </x:c>
      <x:c r="C15" s="195"/>
      <x:c r="D15" s="195"/>
    </x:row>
    <x:row r="16">
      <x:c r="A16" s="194" t="str">
        <x:v>Still emerging / evolving</x:v>
      </x:c>
      <x:c r="B16" s="195" t="str">
        <x:v>Commercial activity exists but category definitions, maturity and ROI remain fluid.</x:v>
      </x:c>
      <x:c r="C16" s="195"/>
      <x:c r="D16" s="195"/>
    </x:row>
    <x:row r="17">
      <x:c r="A17" s="194" t="str">
        <x:v>Superseded / absorbed</x:v>
      </x:c>
      <x:c r="B17" s="195" t="str">
        <x:v>Concept survives mainly inside successor terminology or broader platforms.</x:v>
      </x:c>
      <x:c r="C17" s="195"/>
      <x:c r="D17" s="195"/>
    </x:row>
    <x:row r="18">
      <x:c r="A18" s="194" t="str">
        <x:v>Exited flagship / specialist</x:v>
      </x:c>
      <x:c r="B18" s="195" t="str">
        <x:v>Left the flagship and appears best understood as specialist, lower-profile or absorbed.</x:v>
      </x:c>
      <x:c r="C18" s="195"/>
      <x:c r="D18" s="195"/>
    </x:row>
    <x:row r="19">
      <x:c r="A19" s="194" t="str">
        <x:v>Exited flagship / evolving</x:v>
      </x:c>
      <x:c r="B19" s="195" t="str">
        <x:v>Left the flagship while the underlying category continues to evolve.</x:v>
      </x:c>
      <x:c r="C19" s="195"/>
      <x:c r="D19" s="195"/>
    </x:row>
    <x:row r="20">
      <x:c r="A20" s="195"/>
      <x:c r="B20" s="195"/>
      <x:c r="C20" s="195"/>
      <x:c r="D20" s="195"/>
    </x:row>
    <x:row r="21">
      <x:c r="A21" s="195"/>
      <x:c r="B21" s="195"/>
      <x:c r="C21" s="195"/>
      <x:c r="D21" s="195"/>
    </x:row>
    <x:row r="22">
      <x:c r="A22" s="194" t="str">
        <x:v>Critical caveat</x:v>
      </x:c>
      <x:c r="B22" s="194"/>
      <x:c r="C22" s="194"/>
      <x:c r="D22" s="194"/>
      <x:c r="E22" s="125"/>
      <x:c r="F22" s="125"/>
    </x:row>
    <x:row r="23" ht="24" customHeight="1">
      <x:c r="A23" s="321" t="str">
        <x:v>A technology disappearing from the Emerging Technologies flagship is not evidence that Gartner judged it a failure. The flagship is intentionally selective and dynamic; technologies can mature, move to a specialist Hype Cycle, be renamed, split into more specific profiles, or simply become less useful as a ‘must-know emerging’ label. Gartner’s current methodology also notes that some innovations fall off the cycle before reaching the Plateau.</x:v>
      </x:c>
      <x:c r="B23" s="321"/>
      <x:c r="C23" s="321"/>
      <x:c r="D23" s="321"/>
      <x:c r="E23" s="129"/>
      <x:c r="F23" s="129"/>
    </x:row>
    <x:row r="24">
      <x:c r="A24" s="195"/>
      <x:c r="B24" s="195"/>
      <x:c r="C24" s="195"/>
      <x:c r="D24" s="195"/>
      <x:c r="E24" s="129"/>
      <x:c r="F24" s="129"/>
    </x:row>
    <x:row r="25">
      <x:c r="A25" s="195"/>
      <x:c r="B25" s="195"/>
      <x:c r="C25" s="195"/>
      <x:c r="D25" s="195"/>
      <x:c r="E25" s="129"/>
      <x:c r="F25" s="129"/>
    </x:row>
    <x:row r="26">
      <x:c r="A26" s="195"/>
      <x:c r="B26" s="195"/>
      <x:c r="C26" s="195"/>
      <x:c r="D26" s="195"/>
    </x:row>
    <x:row r="27">
      <x:c r="A27" s="195"/>
      <x:c r="B27" s="195"/>
      <x:c r="C27" s="195"/>
      <x:c r="D27" s="195"/>
    </x:row>
    <x:row r="28">
      <x:c r="A28" s="194" t="str">
        <x:v>Annual source register</x:v>
      </x:c>
      <x:c r="B28" s="194"/>
      <x:c r="C28" s="194"/>
      <x:c r="D28" s="194"/>
      <x:c r="E28" s="120"/>
      <x:c r="F28" s="120"/>
    </x:row>
    <x:row r="29">
      <x:c r="A29" s="194" t="str">
        <x:v>Year</x:v>
      </x:c>
      <x:c r="B29" s="194" t="str">
        <x:v>Primary public source URL</x:v>
      </x:c>
      <x:c r="C29" s="194" t="str">
        <x:v>Source type</x:v>
      </x:c>
      <x:c r="D29" s="194" t="str">
        <x:v>Reconstruction note</x:v>
      </x:c>
    </x:row>
    <x:row r="30">
      <x:c r="A30" s="195" t="n">
        <x:v>2016</x:v>
      </x:c>
      <x:c r="B30" s="195" t="str">
        <x:v>https://www.forbes.com/sites/gartnergroup/2016/08/29/track-three-trends-in-the-2016-gartner-hype-cycle-for-emerging-technologies/</x:v>
      </x:c>
      <x:c r="C30" s="195" t="str">
        <x:v>Gartner-authored Forbes article/chart</x:v>
      </x:c>
      <x:c r="D30" s="195" t="str">
        <x:v>Gartner-authored article and chart.</x:v>
      </x:c>
    </x:row>
    <x:row r="31" ht="24" customHeight="1">
      <x:c r="A31" s="321" t="n">
        <x:v>2017</x:v>
      </x:c>
      <x:c r="B31" s="321" t="str">
        <x:v>https://www.gartner.com/smarterwithgartner/top-trends-in-the-gartner-hype-cycle-for-emerging-technologies-2017/</x:v>
      </x:c>
      <x:c r="C31" s="321" t="str">
        <x:v>Gartner SmarterWithGartner</x:v>
      </x:c>
      <x:c r="D31" s="321" t="str">
        <x:v>Gartner article/chart; public archival reproductions used to cross-check labels/positions.</x:v>
      </x:c>
    </x:row>
    <x:row r="32">
      <x:c r="A32" s="195" t="n">
        <x:v>2018</x:v>
      </x:c>
      <x:c r="B32" s="195" t="str">
        <x:v>https://www.gartner.com/smarterwithgartner/5-trends-emerge-in-gartner-hype-cycle-for-emerging-technologies-2018/</x:v>
      </x:c>
      <x:c r="C32" s="195" t="str">
        <x:v>Gartner SmarterWithGartner</x:v>
      </x:c>
      <x:c r="D32" s="195" t="str">
        <x:v>Gartner article/chart; public reproductions used to cross-check the full list.</x:v>
      </x:c>
    </x:row>
    <x:row r="33">
      <x:c r="A33" s="195" t="n">
        <x:v>2019</x:v>
      </x:c>
      <x:c r="B33" s="195" t="str">
        <x:v>https://www.gartner.com/smarterwithgartner/5-trends-appear-on-the-gartner-hype-cycle-for-emerging-technologies-2019/</x:v>
      </x:c>
      <x:c r="C33" s="195" t="str">
        <x:v>Gartner SmarterWithGartner</x:v>
      </x:c>
      <x:c r="D33" s="195" t="str">
        <x:v>Gartner article/chart; full 29-item list reconstructed from chart.</x:v>
      </x:c>
    </x:row>
    <x:row r="34">
      <x:c r="A34" s="195" t="n">
        <x:v>2020</x:v>
      </x:c>
      <x:c r="B34" s="195" t="str">
        <x:v>https://www.gartner.com/en/newsroom/press-releases/2020-08-18-gartner-identifies-five-emerging-trends-that-will-drive-technology-innovation-for-the-next-decade</x:v>
      </x:c>
      <x:c r="C34" s="195" t="str">
        <x:v>Gartner newsroom/report</x:v>
      </x:c>
      <x:c r="D34" s="195" t="str">
        <x:v>Gartner material plus public report copy; flagship concentrated on the first half of the curve.</x:v>
      </x:c>
    </x:row>
    <x:row r="35">
      <x:c r="A35" s="195" t="n">
        <x:v>2021</x:v>
      </x:c>
      <x:c r="B35" s="195" t="str">
        <x:v>https://www.gartner.com/smarterwithgartner/3-themes-surface-in-the-2021-hype-cycle-for-emerging-technologies</x:v>
      </x:c>
      <x:c r="C35" s="195" t="str">
        <x:v>Gartner SmarterWithGartner</x:v>
      </x:c>
      <x:c r="D35" s="195" t="str">
        <x:v>Gartner chart/public reproductions used for the full list.</x:v>
      </x:c>
    </x:row>
    <x:row r="36">
      <x:c r="A36" s="195" t="n">
        <x:v>2022</x:v>
      </x:c>
      <x:c r="B36" s="195" t="str">
        <x:v>https://www.gartner.com/en/articles/what-s-new-in-the-2022-gartner-hype-cycle-for-emerging-technologies</x:v>
      </x:c>
      <x:c r="C36" s="195" t="str">
        <x:v>Gartner article/report</x:v>
      </x:c>
      <x:c r="D36" s="195" t="str">
        <x:v>Gartner report/public copy; also documents explicit retirements/renames.</x:v>
      </x:c>
    </x:row>
    <x:row r="37">
      <x:c r="A37" s="195" t="n">
        <x:v>2023</x:v>
      </x:c>
      <x:c r="B37" s="195" t="str">
        <x:v>https://www.gartner.com/en/articles/what-s-new-in-the-2023-gartner-hype-cycle-for-emerging-technologies</x:v>
      </x:c>
      <x:c r="C37" s="195" t="str">
        <x:v>Gartner article/chart</x:v>
      </x:c>
      <x:c r="D37" s="195" t="str">
        <x:v>Gartner chart; Peak boundary transcribed from plotted positions.</x:v>
      </x:c>
    </x:row>
    <x:row r="38">
      <x:c r="A38" s="195" t="n">
        <x:v>2024</x:v>
      </x:c>
      <x:c r="B38" s="195" t="str">
        <x:v>https://www.gartner.com/en/newsroom/press-releases/2024-08-21-gartner-2024-hype-cycle-for-emerging-technologies-highlights-developer-productivity-total-experience-ai-and-security</x:v>
      </x:c>
      <x:c r="C38" s="195" t="str">
        <x:v>Gartner newsroom/report</x:v>
      </x:c>
      <x:c r="D38" s="195" t="str">
        <x:v>Official Gartner material; Generative AI explicitly described as over the Peak.</x:v>
      </x:c>
    </x:row>
    <x:row r="39">
      <x:c r="A39" s="195" t="n">
        <x:v>2025</x:v>
      </x:c>
      <x:c r="B39" s="195" t="str">
        <x:v>https://www.gartner.com/en/documents/6810534</x:v>
      </x:c>
      <x:c r="C39" s="195" t="str">
        <x:v>Gartner report / public chart</x:v>
      </x:c>
      <x:c r="D39" s="195" t="str">
        <x:v>Official abstract confirms 30 technologies; exact labels/phase boundary cross-checked against a public chart reproduction.</x:v>
      </x:c>
    </x:row>
    <x:row r="40">
      <x:c r="A40" s="195" t="n">
        <x:v>2026</x:v>
      </x:c>
      <x:c r="B40" s="195" t="str">
        <x:v>https://www.gartner.com/en/documents/8163629</x:v>
      </x:c>
      <x:c r="C40" s="195" t="str">
        <x:v>Gartner report abstract</x:v>
      </x:c>
      <x:c r="D40" s="195" t="str">
        <x:v>Officially confirms 30 technologies and four outcomes; full plotted list/positions remain client-gated.</x:v>
      </x:c>
    </x:row>
    <x:row r="41">
      <x:c r="A41" s="195"/>
      <x:c r="B41" s="195"/>
      <x:c r="C41" s="195"/>
      <x:c r="D41" s="195"/>
    </x:row>
    <x:row r="42">
      <x:c r="A42" s="195"/>
      <x:c r="B42" s="195"/>
      <x:c r="C42" s="195"/>
      <x:c r="D42" s="195"/>
    </x:row>
    <x:row r="43">
      <x:c r="A43" s="194" t="str">
        <x:v>Outcome methodology</x:v>
      </x:c>
      <x:c r="B43" s="194"/>
      <x:c r="C43" s="194"/>
      <x:c r="D43" s="194"/>
      <x:c r="E43" s="120"/>
      <x:c r="F43" s="120"/>
    </x:row>
    <x:row r="44">
      <x:c r="A44" s="195" t="str">
        <x:v>The ‘2026 market outcome’ column is a longitudinal analyst classification created for this workbook, based on whether the capability is now mainstream, specialist, still emerging, materially cooled, or largely absorbed into successor terminology. It is separate from Gartner’s Hype Cycle placement and should not be represented as Gartner’s judgement. Exact Gartner labels are retained so that renames and splits remain visible rather than being silently merged.</x:v>
      </x:c>
      <x:c r="B44" s="195"/>
      <x:c r="C44" s="195"/>
      <x:c r="D44" s="195"/>
      <x:c r="E44" s="133"/>
      <x:c r="F44" s="133"/>
    </x:row>
    <x:row r="45">
      <x:c r="A45" s="133"/>
      <x:c r="B45" s="133"/>
      <x:c r="C45" s="133"/>
      <x:c r="D45" s="133"/>
      <x:c r="E45" s="133"/>
      <x:c r="F45" s="133"/>
    </x:row>
    <x:row r="46">
      <x:c r="A46" s="133"/>
      <x:c r="B46" s="133"/>
      <x:c r="C46" s="133"/>
      <x:c r="D46" s="133"/>
      <x:c r="E46" s="133"/>
      <x:c r="F46" s="133"/>
    </x:row>
    <x:row r="47">
      <x:c r="A47" s="133"/>
      <x:c r="B47" s="133"/>
      <x:c r="C47" s="133"/>
      <x:c r="D47" s="133"/>
      <x:c r="E47" s="133"/>
      <x:c r="F47" s="133"/>
    </x:row>
  </x:sheetData>
  <x:mergeCells>
    <x:mergeCell ref="A1:F1"/>
    <x:mergeCell ref="A11:F11"/>
    <x:mergeCell ref="A22:F22"/>
    <x:mergeCell ref="A23:F25"/>
    <x:mergeCell ref="A28:F28"/>
    <x:mergeCell ref="A43:F43"/>
    <x:mergeCell ref="A44:F47"/>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48" hidden="0" customWidth="1"/>
    <x:col min="3" max="3" width="52" hidden="0" customWidth="1"/>
    <x:col min="4" max="4" width="34" hidden="0" customWidth="1"/>
    <x:col min="5" max="5" width="52" hidden="0" customWidth="1"/>
    <x:col min="6" max="6" width="32" hidden="0" customWidth="1"/>
    <x:col min="7" max="7" width="18" hidden="0" customWidth="1"/>
    <x:col min="8" max="8" width="16" hidden="0" customWidth="1"/>
    <x:col min="11" max="11" width="26" hidden="0" customWidth="1"/>
    <x:col min="12" max="12" width="52" hidden="0" customWidth="1"/>
    <x:col min="14" max="14" width="32" hidden="0" customWidth="1"/>
    <x:col min="15" max="15" width="52" hidden="0" customWidth="1"/>
  </x:cols>
  <x:sheetData>
    <x:row r="1" ht="22" customHeight="1">
      <x:c r="A1" s="258" t="str">
        <x:v>Adoption Methodology — Turning Hype-Cycle Position into an Adoption Trajectory</x:v>
      </x:c>
      <x:c r="B1" s="258"/>
      <x:c r="C1" s="258"/>
      <x:c r="D1" s="258"/>
      <x:c r="E1" s="258"/>
      <x:c r="F1" s="258"/>
      <x:c r="G1" s="258"/>
      <x:c r="H1" s="258"/>
      <x:c r="I1" s="258"/>
      <x:c r="J1" s="258"/>
      <x:c r="K1" s="258"/>
      <x:c r="L1" s="258"/>
      <x:c r="M1" s="258"/>
      <x:c r="N1" s="258"/>
      <x:c r="O1" s="258"/>
    </x:row>
    <x:row r="2" ht="32" customHeight="1">
      <x:c r="A2" s="261" t="str">
        <x:v>Exact, comparable penetration data does not exist for all 206 Gartner labels. The workbook therefore separates measured adoption evidence from a modelled adoption-maturity score.</x:v>
      </x:c>
      <x:c r="B2" s="261"/>
      <x:c r="C2" s="261"/>
      <x:c r="D2" s="261"/>
      <x:c r="E2" s="261"/>
      <x:c r="F2" s="261"/>
      <x:c r="G2" s="261"/>
      <x:c r="H2" s="261"/>
      <x:c r="I2" s="261"/>
      <x:c r="J2" s="261"/>
      <x:c r="K2" s="261"/>
      <x:c r="L2" s="261"/>
      <x:c r="M2" s="261"/>
      <x:c r="N2" s="261"/>
      <x:c r="O2" s="261"/>
    </x:row>
    <x:row r="3">
      <x:c r="A3" s="195"/>
      <x:c r="B3" s="195"/>
      <x:c r="C3" s="195"/>
      <x:c r="D3" s="195"/>
      <x:c r="E3" s="195"/>
      <x:c r="F3" s="195"/>
      <x:c r="G3" s="195"/>
      <x:c r="H3" s="195"/>
      <x:c r="I3" s="195"/>
      <x:c r="J3" s="195"/>
      <x:c r="K3" s="195"/>
      <x:c r="L3" s="195"/>
      <x:c r="M3" s="195"/>
      <x:c r="N3" s="195"/>
      <x:c r="O3" s="195"/>
    </x:row>
    <x:row r="4" ht="24" customHeight="1">
      <x:c r="A4" s="320" t="str">
        <x:v>Score</x:v>
      </x:c>
      <x:c r="B4" s="320" t="str">
        <x:v>Adoption maturity label</x:v>
      </x:c>
      <x:c r="C4" s="320" t="str">
        <x:v>Indicative adoption band / interpretation</x:v>
      </x:c>
      <x:c r="D4" s="321"/>
      <x:c r="E4" s="321"/>
      <x:c r="F4" s="320" t="str">
        <x:v>2026 market outcome</x:v>
      </x:c>
      <x:c r="G4" s="320" t="str">
        <x:v>Score</x:v>
      </x:c>
      <x:c r="H4" s="320" t="str">
        <x:v>Confidence</x:v>
      </x:c>
      <x:c r="I4" s="321"/>
      <x:c r="J4" s="321"/>
      <x:c r="K4" s="321" t="str">
        <x:v>Technology</x:v>
      </x:c>
      <x:c r="L4" s="321" t="str">
        <x:v>Calibration / evidence URL</x:v>
      </x:c>
      <x:c r="M4" s="321"/>
      <x:c r="N4" s="321" t="str">
        <x:v>Family</x:v>
      </x:c>
      <x:c r="O4" s="321" t="str">
        <x:v>Calibration / evidence URL</x:v>
      </x:c>
    </x:row>
    <x:row r="5">
      <x:c r="A5" s="195" t="n">
        <x:v>0</x:v>
      </x:c>
      <x:c r="B5" s="195" t="str">
        <x:v>Research / conceptual</x:v>
      </x:c>
      <x:c r="C5" s="195" t="str">
        <x:v>&lt;1% or no repeatable commercial deployment</x:v>
      </x:c>
      <x:c r="D5" s="195"/>
      <x:c r="E5" s="195"/>
      <x:c r="F5" s="195" t="str">
        <x:v>Established / mainstream</x:v>
      </x:c>
      <x:c r="G5" s="195" t="n">
        <x:v>5</x:v>
      </x:c>
      <x:c r="H5" s="195" t="str">
        <x:v>High</x:v>
      </x:c>
      <x:c r="I5" s="195"/>
      <x:c r="J5" s="195"/>
      <x:c r="K5" s="195" t="str">
        <x:v>5G</x:v>
      </x:c>
      <x:c r="L5" s="195" t="str">
        <x:v>https://www.gsma.com/solutions-and-impact/connectivity-for-good/public-policy/wp-content/uploads/2025/10/GSMA-EMF-Forum-2025-slides.pdf</x:v>
      </x:c>
      <x:c r="M5" s="195"/>
      <x:c r="N5" s="195" t="str">
        <x:v>AI / Data / Analytics</x:v>
      </x:c>
      <x:c r="O5" s="195" t="str">
        <x:v>https://www.mckinsey.com/capabilities/quantumblack/our-insights/the-state-of-ai</x:v>
      </x:c>
    </x:row>
    <x:row r="6">
      <x:c r="A6" s="195" t="n">
        <x:v>1</x:v>
      </x:c>
      <x:c r="B6" s="195" t="str">
        <x:v>Pilot / pre-scale</x:v>
      </x:c>
      <x:c r="C6" s="195" t="str">
        <x:v>≈1–5% of relevant market; prototypes, pilots or very early deployments</x:v>
      </x:c>
      <x:c r="D6" s="195"/>
      <x:c r="E6" s="195"/>
      <x:c r="F6" s="195" t="str">
        <x:v>Established / specialist</x:v>
      </x:c>
      <x:c r="G6" s="195" t="n">
        <x:v>4</x:v>
      </x:c>
      <x:c r="H6" s="195" t="str">
        <x:v>High</x:v>
      </x:c>
      <x:c r="I6" s="195"/>
      <x:c r="J6" s="195"/>
      <x:c r="K6" s="195" t="str">
        <x:v>Generative AI</x:v>
      </x:c>
      <x:c r="L6" s="195" t="str">
        <x:v>https://www.mckinsey.com/featured-insights/charts/ai-at-work-but-not-at-scale</x:v>
      </x:c>
      <x:c r="M6" s="195"/>
      <x:c r="N6" s="195" t="str">
        <x:v>Advanced Computing</x:v>
      </x:c>
      <x:c r="O6" s="195" t="str">
        <x:v>https://www.mckinsey.com/capabilities/tech-and-ai/our-insights/the-year-of-quantum-from-concept-to-reality-in-2025</x:v>
      </x:c>
    </x:row>
    <x:row r="7">
      <x:c r="A7" s="195" t="n">
        <x:v>2</x:v>
      </x:c>
      <x:c r="B7" s="195" t="str">
        <x:v>Early commercial / niche</x:v>
      </x:c>
      <x:c r="C7" s="195" t="str">
        <x:v>≈5–15% of relevant market; credible deployments but limited scale</x:v>
      </x:c>
      <x:c r="D7" s="195"/>
      <x:c r="E7" s="195"/>
      <x:c r="F7" s="195" t="str">
        <x:v>Superseded / absorbed</x:v>
      </x:c>
      <x:c r="G7" s="195" t="n">
        <x:v>3</x:v>
      </x:c>
      <x:c r="H7" s="195" t="str">
        <x:v>Medium-Low</x:v>
      </x:c>
      <x:c r="I7" s="195"/>
      <x:c r="J7" s="195"/>
      <x:c r="K7" s="195" t="str">
        <x:v>AI Agents</x:v>
      </x:c>
      <x:c r="L7" s="195" t="str">
        <x:v>https://www.gartner.com/en/articles/hype-cycle-for-agentic-ai</x:v>
      </x:c>
      <x:c r="M7" s="195"/>
      <x:c r="N7" s="195" t="str">
        <x:v>Autonomy / Robotics</x:v>
      </x:c>
      <x:c r="O7" s="195" t="str">
        <x:v>https://ifr.org/worldrobotics/report-2025</x:v>
      </x:c>
    </x:row>
    <x:row r="8">
      <x:c r="A8" s="195" t="n">
        <x:v>3</x:v>
      </x:c>
      <x:c r="B8" s="195" t="str">
        <x:v>Established niche / absorbed</x:v>
      </x:c>
      <x:c r="C8" s="195" t="str">
        <x:v>≈15–35% of relevant market, or capability absorbed into successor platforms</x:v>
      </x:c>
      <x:c r="D8" s="195"/>
      <x:c r="E8" s="195"/>
      <x:c r="F8" s="195" t="str">
        <x:v>Still emerging / long-horizon</x:v>
      </x:c>
      <x:c r="G8" s="195" t="n">
        <x:v>1</x:v>
      </x:c>
      <x:c r="H8" s="195" t="str">
        <x:v>Medium</x:v>
      </x:c>
      <x:c r="I8" s="195"/>
      <x:c r="J8" s="195"/>
      <x:c r="K8" s="195" t="str">
        <x:v>Quantum Computing</x:v>
      </x:c>
      <x:c r="L8" s="195" t="str">
        <x:v>https://www.mckinsey.com/capabilities/mckinsey-technology/our-insights/mckinsey-quantum-technology-monitor-2026-a-commercial-tipping-point</x:v>
      </x:c>
      <x:c r="M8" s="195"/>
      <x:c r="N8" s="195" t="str">
        <x:v>Blockchain / Digital Assets</x:v>
      </x:c>
      <x:c r="O8" s="195" t="str">
        <x:v>https://www.deloitte.com/us/en/insights/topics/business-strategy-growth/2q-2025-cfo-signals-survey.html</x:v>
      </x:c>
    </x:row>
    <x:row r="9">
      <x:c r="A9" s="195" t="n">
        <x:v>4</x:v>
      </x:c>
      <x:c r="B9" s="195" t="str">
        <x:v>Broad specialist adoption</x:v>
      </x:c>
      <x:c r="C9" s="195" t="str">
        <x:v>≈35–60% within the addressable segment; mature specialist use</x:v>
      </x:c>
      <x:c r="D9" s="195"/>
      <x:c r="E9" s="195"/>
      <x:c r="F9" s="195" t="str">
        <x:v>Still emerging / evolving</x:v>
      </x:c>
      <x:c r="G9" s="195" t="n">
        <x:v>2</x:v>
      </x:c>
      <x:c r="H9" s="195" t="str">
        <x:v>Medium</x:v>
      </x:c>
      <x:c r="I9" s="195"/>
      <x:c r="J9" s="195"/>
      <x:c r="K9" s="195" t="str">
        <x:v>Digital Twin</x:v>
      </x:c>
      <x:c r="L9" s="195" t="str">
        <x:v>https://www.mckinsey.com/featured-insights/mckinsey-explainers/what-is-digital-twin-technology</x:v>
      </x:c>
      <x:c r="M9" s="195"/>
      <x:c r="N9" s="195" t="str">
        <x:v>Business / Emerging Technology</x:v>
      </x:c>
      <x:c r="O9" s="195" t="str">
        <x:v>https://www.gartner.com/en/information-technology/technology-adoption-roadmaps</x:v>
      </x:c>
    </x:row>
    <x:row r="10">
      <x:c r="A10" s="195" t="n">
        <x:v>5</x:v>
      </x:c>
      <x:c r="B10" s="195" t="str">
        <x:v>Mainstream / embedded</x:v>
      </x:c>
      <x:c r="C10" s="195" t="str">
        <x:v>&gt;60% in leading/addressable segments, or effectively a standard/default capability</x:v>
      </x:c>
      <x:c r="D10" s="195"/>
      <x:c r="E10" s="195"/>
      <x:c r="F10" s="195" t="str">
        <x:v>Exited flagship / specialist</x:v>
      </x:c>
      <x:c r="G10" s="195" t="n">
        <x:v>3</x:v>
      </x:c>
      <x:c r="H10" s="195" t="str">
        <x:v>Medium</x:v>
      </x:c>
      <x:c r="I10" s="195"/>
      <x:c r="J10" s="195"/>
      <x:c r="K10" s="195" t="str">
        <x:v>Smart Robots</x:v>
      </x:c>
      <x:c r="L10" s="195" t="str">
        <x:v>https://ifr.org/worldrobotics/report-2025</x:v>
      </x:c>
      <x:c r="M10" s="195"/>
      <x:c r="N10" s="195" t="str">
        <x:v>Cloud / Software Engineering</x:v>
      </x:c>
      <x:c r="O10" s="195" t="str">
        <x:v>https://www.cncf.io/reports/the-cncf-annual-cloud-native-survey/</x:v>
      </x:c>
    </x:row>
    <x:row r="11">
      <x:c r="A11" s="195"/>
      <x:c r="B11" s="195"/>
      <x:c r="C11" s="195"/>
      <x:c r="D11" s="195"/>
      <x:c r="E11" s="195"/>
      <x:c r="F11" s="195" t="str">
        <x:v>Exited flagship / evolving</x:v>
      </x:c>
      <x:c r="G11" s="195" t="n">
        <x:v>2</x:v>
      </x:c>
      <x:c r="H11" s="195" t="str">
        <x:v>Medium-Low</x:v>
      </x:c>
      <x:c r="I11" s="195"/>
      <x:c r="J11" s="195"/>
      <x:c r="K11" s="195" t="str">
        <x:v>Autonomous Vehicles</x:v>
      </x:c>
      <x:c r="L11" s="195" t="str">
        <x:v>https://www.weforum.org/publications/autonomous-vehicles-timeline-and-roadmap-ahead/</x:v>
      </x:c>
      <x:c r="M11" s="195"/>
      <x:c r="N11" s="195" t="str">
        <x:v>Connectivity / Edge / IoT</x:v>
      </x:c>
      <x:c r="O11" s="195" t="str">
        <x:v>https://www.gsma.com/about-us/regions/europe/gsma_resources/the-mobile-economy-2026/</x:v>
      </x:c>
    </x:row>
    <x:row r="12">
      <x:c r="A12" s="195"/>
      <x:c r="B12" s="195"/>
      <x:c r="C12" s="195"/>
      <x:c r="D12" s="195"/>
      <x:c r="E12" s="195"/>
      <x:c r="F12" s="195" t="str">
        <x:v>Hype cooled / niche</x:v>
      </x:c>
      <x:c r="G12" s="195" t="n">
        <x:v>2</x:v>
      </x:c>
      <x:c r="H12" s="195" t="str">
        <x:v>Medium</x:v>
      </x:c>
      <x:c r="I12" s="195"/>
      <x:c r="J12" s="195"/>
      <x:c r="K12" s="195" t="str">
        <x:v>IoT Platform</x:v>
      </x:c>
      <x:c r="L12" s="195" t="str">
        <x:v>https://www.gsma.com/about-us/regions/north-america/wp-content/uploads/2024/02/Mobile-Policy-Handbook-2024.pdf</x:v>
      </x:c>
      <x:c r="M12" s="195"/>
      <x:c r="N12" s="195" t="str">
        <x:v>Experience / Spatial Computing</x:v>
      </x:c>
      <x:c r="O12" s="195" t="str">
        <x:v>https://www.mckinsey.com/featured-insights/mckinsey-explainers/what-is-digital-twin-technology</x:v>
      </x:c>
    </x:row>
    <x:row r="13">
      <x:c r="A13" s="195"/>
      <x:c r="B13" s="195"/>
      <x:c r="C13" s="195"/>
      <x:c r="D13" s="195"/>
      <x:c r="E13" s="195"/>
      <x:c r="F13" s="195"/>
      <x:c r="G13" s="195"/>
      <x:c r="H13" s="195"/>
      <x:c r="I13" s="195"/>
      <x:c r="J13" s="195"/>
      <x:c r="K13" s="195" t="str">
        <x:v>Blockchain</x:v>
      </x:c>
      <x:c r="L13" s="195" t="str">
        <x:v>https://www.deloitte.com/us/en/insights/topics/business-strategy-growth/2q-2025-cfo-signals-survey.html</x:v>
      </x:c>
      <x:c r="M13" s="195"/>
      <x:c r="N13" s="195" t="str">
        <x:v>Human Augmentation / Future of Work</x:v>
      </x:c>
      <x:c r="O13" s="195" t="str">
        <x:v>https://www.gartner.com/en/information-technology/technology-adoption-roadmaps</x:v>
      </x:c>
    </x:row>
    <x:row r="14">
      <x:c r="A14" s="195"/>
      <x:c r="B14" s="195"/>
      <x:c r="C14" s="195"/>
      <x:c r="D14" s="195"/>
      <x:c r="E14" s="195"/>
      <x:c r="F14" s="195"/>
      <x:c r="G14" s="195"/>
      <x:c r="H14" s="195"/>
      <x:c r="I14" s="195"/>
      <x:c r="J14" s="195"/>
      <x:c r="K14" s="195" t="str">
        <x:v>Commercial UAVs (Drones)</x:v>
      </x:c>
      <x:c r="L14" s="195" t="str">
        <x:v>https://www.faa.gov/data_research/aviation/aerospace_forecasts/unmanned_aircraft_systems.pdf</x:v>
      </x:c>
      <x:c r="M14" s="195"/>
      <x:c r="N14" s="195" t="str">
        <x:v>Materials / Bio / Physical</x:v>
      </x:c>
      <x:c r="O14" s="195" t="str">
        <x:v>https://www.gartner.com/en/information-technology/technology-adoption-roadmaps</x:v>
      </x:c>
    </x:row>
    <x:row r="15">
      <x:c r="A15" s="195"/>
      <x:c r="B15" s="195"/>
      <x:c r="C15" s="195"/>
      <x:c r="D15" s="195"/>
      <x:c r="E15" s="195"/>
      <x:c r="F15" s="195"/>
      <x:c r="G15" s="195"/>
      <x:c r="H15" s="195"/>
      <x:c r="I15" s="195"/>
      <x:c r="J15" s="195"/>
      <x:c r="K15" s="195"/>
      <x:c r="L15" s="195"/>
      <x:c r="M15" s="195"/>
      <x:c r="N15" s="195" t="str">
        <x:v>Security / Privacy</x:v>
      </x:c>
      <x:c r="O15" s="195" t="str">
        <x:v>https://www.gartner.com/en/information-technology/technology-adoption-roadmaps</x:v>
      </x:c>
    </x:row>
    <x:row r="16">
      <x:c r="A16" s="195"/>
      <x:c r="B16" s="195"/>
      <x:c r="C16" s="195"/>
      <x:c r="D16" s="195"/>
      <x:c r="E16" s="195"/>
      <x:c r="F16" s="195"/>
      <x:c r="G16" s="195"/>
      <x:c r="H16" s="195"/>
      <x:c r="I16" s="195"/>
      <x:c r="J16" s="195"/>
      <x:c r="K16" s="195"/>
      <x:c r="L16" s="195"/>
      <x:c r="M16" s="195"/>
      <x:c r="N16" s="195" t="str">
        <x:v>Sustainability</x:v>
      </x:c>
      <x:c r="O16" s="195" t="str">
        <x:v>https://www.gartner.com/en/information-technology/technology-adoption-roadmaps</x:v>
      </x:c>
    </x:row>
    <x:row r="17" ht="24" customHeight="1">
      <x:c r="A17" s="321"/>
      <x:c r="B17" s="321"/>
      <x:c r="C17" s="321"/>
      <x:c r="D17" s="321"/>
      <x:c r="E17" s="321"/>
      <x:c r="F17" s="320" t="str">
        <x:v>First Gartner phase</x:v>
      </x:c>
      <x:c r="G17" s="320" t="str">
        <x:v>Initial adoption score proxy</x:v>
      </x:c>
      <x:c r="H17" s="321"/>
      <x:c r="I17" s="321"/>
      <x:c r="J17" s="321"/>
      <x:c r="K17" s="321"/>
      <x:c r="L17" s="321"/>
      <x:c r="M17" s="321"/>
      <x:c r="N17" s="321"/>
      <x:c r="O17" s="321"/>
    </x:row>
    <x:row r="18">
      <x:c r="A18" s="195"/>
      <x:c r="B18" s="195"/>
      <x:c r="C18" s="195"/>
      <x:c r="D18" s="195"/>
      <x:c r="E18" s="195"/>
      <x:c r="F18" s="195" t="str">
        <x:v>IT</x:v>
      </x:c>
      <x:c r="G18" s="195" t="n">
        <x:v>1</x:v>
      </x:c>
      <x:c r="H18" s="195"/>
      <x:c r="I18" s="195"/>
      <x:c r="J18" s="195"/>
      <x:c r="K18" s="195"/>
      <x:c r="L18" s="195"/>
      <x:c r="M18" s="195"/>
      <x:c r="N18" s="195"/>
      <x:c r="O18" s="195"/>
    </x:row>
    <x:row r="19">
      <x:c r="A19" s="195"/>
      <x:c r="B19" s="195"/>
      <x:c r="C19" s="195"/>
      <x:c r="D19" s="195"/>
      <x:c r="E19" s="195"/>
      <x:c r="F19" s="195" t="str">
        <x:v>PE</x:v>
      </x:c>
      <x:c r="G19" s="195" t="n">
        <x:v>2</x:v>
      </x:c>
      <x:c r="H19" s="195"/>
      <x:c r="I19" s="195"/>
      <x:c r="J19" s="195"/>
      <x:c r="K19" s="195"/>
      <x:c r="L19" s="195"/>
      <x:c r="M19" s="195"/>
      <x:c r="N19" s="195"/>
      <x:c r="O19" s="195"/>
    </x:row>
    <x:row r="20">
      <x:c r="A20" s="195"/>
      <x:c r="B20" s="195"/>
      <x:c r="C20" s="195"/>
      <x:c r="D20" s="195"/>
      <x:c r="E20" s="195"/>
      <x:c r="F20" s="195" t="str">
        <x:v>TD</x:v>
      </x:c>
      <x:c r="G20" s="195" t="n">
        <x:v>2</x:v>
      </x:c>
      <x:c r="H20" s="195"/>
      <x:c r="I20" s="195"/>
      <x:c r="J20" s="195"/>
      <x:c r="K20" s="195"/>
      <x:c r="L20" s="195"/>
      <x:c r="M20" s="195"/>
      <x:c r="N20" s="195"/>
      <x:c r="O20" s="195"/>
    </x:row>
    <x:row r="21">
      <x:c r="A21" s="195"/>
      <x:c r="B21" s="195"/>
      <x:c r="C21" s="195"/>
      <x:c r="D21" s="195"/>
      <x:c r="E21" s="195"/>
      <x:c r="F21" s="195" t="str">
        <x:v>SE</x:v>
      </x:c>
      <x:c r="G21" s="195" t="n">
        <x:v>3</x:v>
      </x:c>
      <x:c r="H21" s="195"/>
      <x:c r="I21" s="195"/>
      <x:c r="J21" s="195"/>
      <x:c r="K21" s="195"/>
      <x:c r="L21" s="195"/>
      <x:c r="M21" s="195"/>
      <x:c r="N21" s="195"/>
      <x:c r="O21" s="195"/>
    </x:row>
    <x:row r="22">
      <x:c r="A22" s="195"/>
      <x:c r="B22" s="195"/>
      <x:c r="C22" s="195"/>
      <x:c r="D22" s="195"/>
      <x:c r="E22" s="195"/>
      <x:c r="F22" s="195" t="str">
        <x:v>PP</x:v>
      </x:c>
      <x:c r="G22" s="195" t="n">
        <x:v>4</x:v>
      </x:c>
      <x:c r="H22" s="195"/>
      <x:c r="I22" s="195"/>
      <x:c r="J22" s="195"/>
      <x:c r="K22" s="195"/>
      <x:c r="L22" s="195"/>
      <x:c r="M22" s="195"/>
      <x:c r="N22" s="195"/>
      <x:c r="O22" s="195"/>
    </x:row>
    <x:row r="23">
      <x:c r="A23" s="195"/>
      <x:c r="B23" s="195"/>
      <x:c r="C23" s="195"/>
      <x:c r="D23" s="195"/>
      <x:c r="E23" s="195"/>
      <x:c r="F23" s="195"/>
      <x:c r="G23" s="195"/>
      <x:c r="H23" s="195"/>
      <x:c r="I23" s="195"/>
      <x:c r="J23" s="195"/>
      <x:c r="K23" s="195"/>
      <x:c r="L23" s="195"/>
      <x:c r="M23" s="195"/>
      <x:c r="N23" s="195"/>
      <x:c r="O23" s="195"/>
    </x:row>
    <x:row r="24" ht="24" customHeight="1">
      <x:c r="A24" s="321"/>
      <x:c r="B24" s="321"/>
      <x:c r="C24" s="321"/>
      <x:c r="D24" s="321"/>
      <x:c r="E24" s="321"/>
      <x:c r="F24" s="321"/>
      <x:c r="G24" s="321"/>
      <x:c r="H24" s="321"/>
      <x:c r="I24" s="321"/>
      <x:c r="J24" s="321"/>
      <x:c r="K24" s="321"/>
      <x:c r="L24" s="321"/>
      <x:c r="M24" s="321"/>
      <x:c r="N24" s="321"/>
      <x:c r="O24" s="321"/>
    </x:row>
    <x:row r="25">
      <x:c r="A25" s="194" t="str">
        <x:v>How to interpret the adoption score</x:v>
      </x:c>
      <x:c r="B25" s="194"/>
      <x:c r="C25" s="194"/>
      <x:c r="D25" s="194"/>
      <x:c r="E25" s="194"/>
      <x:c r="F25" s="194"/>
      <x:c r="G25" s="194"/>
      <x:c r="H25" s="194"/>
      <x:c r="I25" s="194"/>
      <x:c r="J25" s="194"/>
      <x:c r="K25" s="194"/>
      <x:c r="L25" s="194"/>
      <x:c r="M25" s="194"/>
      <x:c r="N25" s="194"/>
      <x:c r="O25" s="194"/>
    </x:row>
    <x:row r="26">
      <x:c r="A26" s="195"/>
      <x:c r="B26" s="195"/>
      <x:c r="C26" s="195"/>
      <x:c r="D26" s="195"/>
      <x:c r="E26" s="195"/>
      <x:c r="F26" s="195"/>
      <x:c r="G26" s="195"/>
      <x:c r="H26" s="195"/>
      <x:c r="I26" s="195"/>
      <x:c r="J26" s="195"/>
      <x:c r="K26" s="195"/>
      <x:c r="L26" s="195"/>
      <x:c r="M26" s="195"/>
      <x:c r="N26" s="195"/>
      <x:c r="O26" s="195"/>
    </x:row>
    <x:row r="27">
      <x:c r="A27" s="194" t="str">
        <x:v>Point</x:v>
      </x:c>
      <x:c r="B27" s="194" t="str">
        <x:v>Explanation</x:v>
      </x:c>
      <x:c r="C27" s="195"/>
      <x:c r="D27" s="194" t="str">
        <x:v>Source</x:v>
      </x:c>
      <x:c r="E27" s="194" t="str">
        <x:v>URL</x:v>
      </x:c>
      <x:c r="F27" s="195"/>
      <x:c r="G27" s="195"/>
      <x:c r="H27" s="195"/>
      <x:c r="I27" s="195"/>
      <x:c r="J27" s="195"/>
      <x:c r="K27" s="195"/>
      <x:c r="L27" s="195"/>
      <x:c r="M27" s="195"/>
      <x:c r="N27" s="195"/>
      <x:c r="O27" s="195"/>
    </x:row>
    <x:row r="28">
      <x:c r="A28" s="195" t="str">
        <x:v>Initial score</x:v>
      </x:c>
      <x:c r="B28" s="195" t="str">
        <x:v>A proxy derived from the technology's first Gartner phase. This is not a historical survey penetration rate; it represents likely commercial maturity at the time Gartner first featured it.</x:v>
      </x:c>
      <x:c r="C28" s="195"/>
      <x:c r="D28" s="195" t="str">
        <x:v>Gartner Hype Cycle methodology / 2026 Emerging Technologies</x:v>
      </x:c>
      <x:c r="E28" s="195" t="str">
        <x:v>https://www.gartner.com/en/documents/8163629</x:v>
      </x:c>
      <x:c r="F28" s="195"/>
      <x:c r="G28" s="195"/>
      <x:c r="H28" s="195"/>
      <x:c r="I28" s="195"/>
      <x:c r="J28" s="195"/>
      <x:c r="K28" s="195"/>
      <x:c r="L28" s="195"/>
      <x:c r="M28" s="195"/>
      <x:c r="N28" s="195"/>
      <x:c r="O28" s="195"/>
    </x:row>
    <x:row r="29">
      <x:c r="A29" s="195" t="str">
        <x:v>2026 score</x:v>
      </x:c>
      <x:c r="B29" s="195" t="str">
        <x:v>An analyst-assessed maturity score derived from the workbook's 2026 market outcome and calibrated to public adoption evidence. It measures maturity within the relevant addressable market, not a universal percentage of all organisations or consumers.</x:v>
      </x:c>
      <x:c r="C29" s="195"/>
      <x:c r="D29" s="195" t="str">
        <x:v>Gartner Technology Adoption Roadmap 2026</x:v>
      </x:c>
      <x:c r="E29" s="195" t="str">
        <x:v>https://www.gartner.com/en/information-technology/technology-adoption-roadmaps</x:v>
      </x:c>
      <x:c r="F29" s="195"/>
      <x:c r="G29" s="195"/>
      <x:c r="H29" s="195"/>
      <x:c r="I29" s="195"/>
      <x:c r="J29" s="195"/>
      <x:c r="K29" s="195"/>
      <x:c r="L29" s="195"/>
      <x:c r="M29" s="195"/>
      <x:c r="N29" s="195"/>
      <x:c r="O29" s="195"/>
    </x:row>
    <x:row r="30">
      <x:c r="A30" s="195" t="str">
        <x:v>Superseded / absorbed</x:v>
      </x:c>
      <x:c r="B30" s="195" t="str">
        <x:v>A score of 3 means the underlying capability has survived inside successor products, platforms or terminology. It should not be interpreted as 15–35% adoption of the original label itself.</x:v>
      </x:c>
      <x:c r="C30" s="195"/>
      <x:c r="D30" s="195" t="str">
        <x:v>McKinsey State of AI 2025</x:v>
      </x:c>
      <x:c r="E30" s="195" t="str">
        <x:v>https://www.mckinsey.com/capabilities/quantumblack/our-insights/the-state-of-ai</x:v>
      </x:c>
      <x:c r="F30" s="195"/>
      <x:c r="G30" s="195"/>
      <x:c r="H30" s="195"/>
      <x:c r="I30" s="195"/>
      <x:c r="J30" s="195"/>
      <x:c r="K30" s="195"/>
      <x:c r="L30" s="195"/>
      <x:c r="M30" s="195"/>
      <x:c r="N30" s="195"/>
      <x:c r="O30" s="195"/>
    </x:row>
    <x:row r="31">
      <x:c r="A31" s="195" t="str">
        <x:v>Indicative ranges</x:v>
      </x:c>
      <x:c r="B31" s="195" t="str">
        <x:v>Ranges are deliberately broad because the denominator differs by technology: mobile connections for 5G, relevant enterprises for digital twins, production users for software infrastructure, or commercial deployments for physical technologies.</x:v>
      </x:c>
      <x:c r="C31" s="195"/>
      <x:c r="D31" s="195" t="str">
        <x:v>GSMA Mobile Economy 2026</x:v>
      </x:c>
      <x:c r="E31" s="195" t="str">
        <x:v>https://www.gsma.com/about-us/regions/europe/gsma_resources/the-mobile-economy-2026/</x:v>
      </x:c>
      <x:c r="F31" s="195"/>
      <x:c r="G31" s="195"/>
      <x:c r="H31" s="195"/>
      <x:c r="I31" s="195"/>
      <x:c r="J31" s="195"/>
      <x:c r="K31" s="195"/>
      <x:c r="L31" s="195"/>
      <x:c r="M31" s="195"/>
      <x:c r="N31" s="195"/>
      <x:c r="O31" s="195"/>
    </x:row>
    <x:row r="32">
      <x:c r="A32" s="195" t="str">
        <x:v>Measured examples</x:v>
      </x:c>
      <x:c r="B32" s="195" t="str">
        <x:v>Where reputable quantitative adoption data exists, it is captured separately in the Measured Adoption Examples sheet. Those metrics should be preferred over the modelled score for that technology.</x:v>
      </x:c>
      <x:c r="C32" s="195"/>
      <x:c r="D32" s="195" t="str">
        <x:v>CNCF Annual Cloud Native Survey 2026</x:v>
      </x:c>
      <x:c r="E32" s="195" t="str">
        <x:v>https://www.cncf.io/reports/the-cncf-annual-cloud-native-survey/</x:v>
      </x:c>
      <x:c r="F32" s="195"/>
      <x:c r="G32" s="195"/>
      <x:c r="H32" s="195"/>
      <x:c r="I32" s="195"/>
      <x:c r="J32" s="195"/>
      <x:c r="K32" s="195"/>
      <x:c r="L32" s="195"/>
      <x:c r="M32" s="195"/>
      <x:c r="N32" s="195"/>
      <x:c r="O32" s="195"/>
    </x:row>
    <x:row r="33">
      <x:c r="A33" s="195" t="str">
        <x:v>Hype vs adoption</x:v>
      </x:c>
      <x:c r="B33" s="195" t="str">
        <x:v>Gartner's Hype Cycle y-axis is expectations and the x-axis relates to proven value over time; the curve is not itself a penetration-rate chart. Gartner also publishes a separate Technology Adoption Roadmap.</x:v>
      </x:c>
      <x:c r="C33" s="195"/>
      <x:c r="D33" s="195" t="str">
        <x:v>IFR World Robotics 2025</x:v>
      </x:c>
      <x:c r="E33" s="195" t="str">
        <x:v>https://ifr.org/worldrobotics/report-2025</x:v>
      </x:c>
      <x:c r="F33" s="195"/>
      <x:c r="G33" s="195"/>
      <x:c r="H33" s="195"/>
      <x:c r="I33" s="195"/>
      <x:c r="J33" s="195"/>
      <x:c r="K33" s="195"/>
      <x:c r="L33" s="195"/>
      <x:c r="M33" s="195"/>
      <x:c r="N33" s="195"/>
      <x:c r="O33" s="195"/>
    </x:row>
    <x:row r="34">
      <x:c r="A34" s="195"/>
      <x:c r="B34" s="195"/>
      <x:c r="C34" s="195"/>
      <x:c r="D34" s="195" t="str">
        <x:v>McKinsey Quantum Technology Monitor 2026</x:v>
      </x:c>
      <x:c r="E34" s="195" t="str">
        <x:v>https://www.mckinsey.com/capabilities/mckinsey-technology/our-insights/mckinsey-quantum-technology-monitor-2026-a-commercial-tipping-point</x:v>
      </x:c>
      <x:c r="F34" s="195"/>
      <x:c r="G34" s="195"/>
      <x:c r="H34" s="195"/>
      <x:c r="I34" s="195"/>
      <x:c r="J34" s="195"/>
      <x:c r="K34" s="195"/>
      <x:c r="L34" s="195"/>
      <x:c r="M34" s="195"/>
      <x:c r="N34" s="195"/>
      <x:c r="O34" s="195"/>
    </x:row>
  </x:sheetData>
  <x:mergeCells>
    <x:mergeCell ref="A1:O1"/>
    <x:mergeCell ref="A2:O2"/>
    <x:mergeCell ref="A25:O25"/>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0" hidden="0" customWidth="1"/>
    <x:col min="3" max="3" width="16" hidden="0" customWidth="1"/>
    <x:col min="4" max="4" width="24" hidden="0" customWidth="1"/>
    <x:col min="5" max="5" width="42" hidden="0" customWidth="1"/>
    <x:col min="6" max="6" width="12" hidden="0" customWidth="1"/>
    <x:col min="7" max="7" width="34" hidden="0" customWidth="1"/>
    <x:col min="8" max="8" width="30" hidden="0" customWidth="1"/>
    <x:col min="9" max="9" width="45" hidden="0" customWidth="1"/>
    <x:col min="10" max="10" width="46" hidden="0" customWidth="1"/>
  </x:cols>
  <x:sheetData>
    <x:row r="1" ht="22" customHeight="1">
      <x:c r="A1" s="258" t="str">
        <x:v>Measured Adoption Examples — Public Quantitative Evidence Available by 2026</x:v>
      </x:c>
      <x:c r="B1" s="258"/>
      <x:c r="C1" s="258"/>
      <x:c r="D1" s="258"/>
      <x:c r="E1" s="258"/>
      <x:c r="F1" s="258"/>
      <x:c r="G1" s="258"/>
      <x:c r="H1" s="258"/>
      <x:c r="I1" s="309"/>
      <x:c r="J1" s="258"/>
    </x:row>
    <x:row r="2" ht="32" customHeight="1">
      <x:c r="A2" s="261" t="str">
        <x:v>These figures are not directly comparable across technologies because the denominator differs. They are included to anchor the modelled adoption score with real-world scale where reputable public data exists.</x:v>
      </x:c>
      <x:c r="B2" s="261"/>
      <x:c r="C2" s="261"/>
      <x:c r="D2" s="261"/>
      <x:c r="E2" s="261"/>
      <x:c r="F2" s="261"/>
      <x:c r="G2" s="261"/>
      <x:c r="H2" s="261"/>
      <x:c r="I2" s="310"/>
      <x:c r="J2" s="261"/>
    </x:row>
    <x:row r="3">
      <x:c r="A3" s="195"/>
      <x:c r="B3" s="195"/>
      <x:c r="C3" s="195"/>
      <x:c r="D3" s="195"/>
      <x:c r="E3" s="195"/>
      <x:c r="F3" s="195"/>
      <x:c r="G3" s="195"/>
      <x:c r="H3" s="195"/>
      <x:c r="I3" s="195"/>
      <x:c r="J3" s="195"/>
    </x:row>
    <x:row r="4" ht="24" customHeight="1">
      <x:c r="A4" s="320" t="str">
        <x:v>Technology</x:v>
      </x:c>
      <x:c r="B4" s="320" t="str">
        <x:v>First seen</x:v>
      </x:c>
      <x:c r="C4" s="320" t="str">
        <x:v>First Gartner phase</x:v>
      </x:c>
      <x:c r="D4" s="320" t="str">
        <x:v>Initial adoption proxy</x:v>
      </x:c>
      <x:c r="E4" s="320" t="str">
        <x:v>Latest quantitative adoption / scale</x:v>
      </x:c>
      <x:c r="F4" s="320" t="str">
        <x:v>Reference year</x:v>
      </x:c>
      <x:c r="G4" s="320" t="str">
        <x:v>What the metric measures</x:v>
      </x:c>
      <x:c r="H4" s="320" t="str">
        <x:v>2026 assessment</x:v>
      </x:c>
      <x:c r="I4" s="320" t="str">
        <x:v>Source URL</x:v>
      </x:c>
      <x:c r="J4" s="320" t="str">
        <x:v>Interpretation</x:v>
      </x:c>
    </x:row>
    <x:row r="5">
      <x:c r="A5" s="299" t="str">
        <x:v>5G</x:v>
      </x:c>
      <x:c r="B5" s="299" t="n">
        <x:v>2017</x:v>
      </x:c>
      <x:c r="C5" s="299" t="str">
        <x:v>IT</x:v>
      </x:c>
      <x:c r="D5" s="299" t="str">
        <x:v>Pilot / pre-scale</x:v>
      </x:c>
      <x:c r="E5" s="299" t="str">
        <x:v>≈36% of global mobile connections (3.277bn of 9.069bn) projected for 2026</x:v>
      </x:c>
      <x:c r="F5" s="299" t="n">
        <x:v>2026</x:v>
      </x:c>
      <x:c r="G5" s="299" t="str">
        <x:v>Share of global mobile connections</x:v>
      </x:c>
      <x:c r="H5" s="299" t="str">
        <x:v>Mainstream / embedded</x:v>
      </x:c>
      <x:c r="I5" s="299" t="str">
        <x:v>https://www.gsma.com/solutions-and-impact/connectivity-for-good/public-policy/wp-content/uploads/2025/10/GSMA-EMF-Forum-2025-slides.pdf</x:v>
      </x:c>
      <x:c r="J5" s="299" t="str">
        <x:v>A clear example of hype becoming infrastructure; adoption is already majority-level in several leading markets.</x:v>
      </x:c>
    </x:row>
    <x:row r="6">
      <x:c r="A6" s="299" t="str">
        <x:v>Generative AI</x:v>
      </x:c>
      <x:c r="B6" s="299" t="n">
        <x:v>2020</x:v>
      </x:c>
      <x:c r="C6" s="299" t="str">
        <x:v>IT</x:v>
      </x:c>
      <x:c r="D6" s="299" t="str">
        <x:v>Pilot / pre-scale</x:v>
      </x:c>
      <x:c r="E6" s="299" t="str">
        <x:v>79% of surveyed organisations reported regular gen-AI use in at least one business function</x:v>
      </x:c>
      <x:c r="F6" s="299" t="n">
        <x:v>2025</x:v>
      </x:c>
      <x:c r="G6" s="299" t="str">
        <x:v>Organisation-level use in ≥1 business function</x:v>
      </x:c>
      <x:c r="H6" s="299" t="str">
        <x:v>Mainstream use, not yet fully scaled</x:v>
      </x:c>
      <x:c r="I6" s="299" t="str">
        <x:v>https://www.mckinsey.com/featured-insights/charts/ai-at-work-but-not-at-scale</x:v>
      </x:c>
      <x:c r="J6" s="299" t="str">
        <x:v>Adoption has moved much faster than enterprise-wide value realisation: only a small minority report full-scale deployment.</x:v>
      </x:c>
    </x:row>
    <x:row r="7">
      <x:c r="A7" s="299" t="str">
        <x:v>AI Agents</x:v>
      </x:c>
      <x:c r="B7" s="299" t="n">
        <x:v>2025</x:v>
      </x:c>
      <x:c r="C7" s="299" t="str">
        <x:v>PE</x:v>
      </x:c>
      <x:c r="D7" s="299" t="str">
        <x:v>Early commercial / niche</x:v>
      </x:c>
      <x:c r="E7" s="299" t="str">
        <x:v>17% of organisations deployed AI agents; &gt;60% expected deployment within two years</x:v>
      </x:c>
      <x:c r="F7" s="299" t="n">
        <x:v>2026</x:v>
      </x:c>
      <x:c r="G7" s="299" t="str">
        <x:v>Organisation-level deployment and intent</x:v>
      </x:c>
      <x:c r="H7" s="299" t="str">
        <x:v>Early commercial / scaling</x:v>
      </x:c>
      <x:c r="I7" s="299" t="str">
        <x:v>https://www.gartner.com/en/articles/hype-cycle-for-agentic-ai</x:v>
      </x:c>
      <x:c r="J7" s="299" t="str">
        <x:v>Peak-level attention is ahead of current deployment; intent is dramatically higher than realised adoption.</x:v>
      </x:c>
    </x:row>
    <x:row r="8">
      <x:c r="A8" s="299" t="str">
        <x:v>Digital Twin</x:v>
      </x:c>
      <x:c r="B8" s="299" t="n">
        <x:v>2017</x:v>
      </x:c>
      <x:c r="C8" s="299" t="str">
        <x:v>IT</x:v>
      </x:c>
      <x:c r="D8" s="299" t="str">
        <x:v>Pilot / pre-scale</x:v>
      </x:c>
      <x:c r="E8" s="299" t="str">
        <x:v>Almost 75% of advanced-industry companies reported adoption of digital twins at medium complexity or above</x:v>
      </x:c>
      <x:c r="F8" s="299" t="n">
        <x:v>2024</x:v>
      </x:c>
      <x:c r="G8" s="299" t="str">
        <x:v>Adoption among surveyed advanced-industry companies</x:v>
      </x:c>
      <x:c r="H8" s="299" t="str">
        <x:v>Broad specialist / mainstream in advanced industry</x:v>
      </x:c>
      <x:c r="I8" s="299" t="str">
        <x:v>https://www.mckinsey.com/featured-insights/mckinsey-explainers/what-is-digital-twin-technology</x:v>
      </x:c>
      <x:c r="J8" s="299" t="str">
        <x:v>A technology that largely left the flagship conversation because it became an operational capability in particular industries.</x:v>
      </x:c>
    </x:row>
    <x:row r="9">
      <x:c r="A9" s="299" t="str">
        <x:v>Quantum Computing</x:v>
      </x:c>
      <x:c r="B9" s="299" t="n">
        <x:v>2016</x:v>
      </x:c>
      <x:c r="C9" s="299" t="str">
        <x:v>IT</x:v>
      </x:c>
      <x:c r="D9" s="299" t="str">
        <x:v>Pilot / pre-scale</x:v>
      </x:c>
      <x:c r="E9" s="299" t="str">
        <x:v>&gt;300 companies engaging with quantum computing worldwide; one-third of sampled large companies spent &gt;$10m in 2025</x:v>
      </x:c>
      <x:c r="F9" s="299" t="n">
        <x:v>2026</x:v>
      </x:c>
      <x:c r="G9" s="299" t="str">
        <x:v>Commercial engagement and spending, not enterprise penetration</x:v>
      </x:c>
      <x:c r="H9" s="299" t="str">
        <x:v>Still emerging / long-horizon</x:v>
      </x:c>
      <x:c r="I9" s="299" t="str">
        <x:v>https://www.mckinsey.com/capabilities/mckinsey-technology/our-insights/mckinsey-quantum-technology-monitor-2026-a-commercial-tipping-point</x:v>
      </x:c>
      <x:c r="J9" s="299" t="str">
        <x:v>Commercial activity is real, but adoption remains concentrated among early movers and mission-critical sectors.</x:v>
      </x:c>
    </x:row>
    <x:row r="10">
      <x:c r="A10" s="299" t="str">
        <x:v>Smart Robots</x:v>
      </x:c>
      <x:c r="B10" s="299" t="n">
        <x:v>2016</x:v>
      </x:c>
      <x:c r="C10" s="299" t="str">
        <x:v>IT</x:v>
      </x:c>
      <x:c r="D10" s="299" t="str">
        <x:v>Pilot / pre-scale</x:v>
      </x:c>
      <x:c r="E10" s="299" t="str">
        <x:v>4.664m industrial robots operating worldwide; 542,000 installed in 2024</x:v>
      </x:c>
      <x:c r="F10" s="299" t="n">
        <x:v>2024</x:v>
      </x:c>
      <x:c r="G10" s="299" t="str">
        <x:v>Installed industrial robot base and annual installations</x:v>
      </x:c>
      <x:c r="H10" s="299" t="str">
        <x:v>Established / specialist</x:v>
      </x:c>
      <x:c r="I10" s="299" t="str">
        <x:v>https://ifr.org/worldrobotics/report-2025</x:v>
      </x:c>
      <x:c r="J10" s="299" t="str">
        <x:v>Robot adoption has scaled materially, but remains concentrated in manufacturing and other automation-intensive environments.</x:v>
      </x:c>
    </x:row>
    <x:row r="11">
      <x:c r="A11" s="299" t="str">
        <x:v>Autonomous Vehicles</x:v>
      </x:c>
      <x:c r="B11" s="299" t="n">
        <x:v>2016</x:v>
      </x:c>
      <x:c r="C11" s="299" t="str">
        <x:v>PE</x:v>
      </x:c>
      <x:c r="D11" s="299" t="str">
        <x:v>Early commercial / niche</x:v>
      </x:c>
      <x:c r="E11" s="299" t="str">
        <x:v>Waymo reported &gt;400,000 fully autonomous rides per week across six major U.S. metro areas</x:v>
      </x:c>
      <x:c r="F11" s="299" t="n">
        <x:v>2026</x:v>
      </x:c>
      <x:c r="G11" s="299" t="str">
        <x:v>Commercial robotaxi service scale</x:v>
      </x:c>
      <x:c r="H11" s="299" t="str">
        <x:v>Established but geographically specialist</x:v>
      </x:c>
      <x:c r="I11" s="299" t="str">
        <x:v>https://waymo.com/blog/2026/02/waymo-raises-usd16-billion-investment-round/</x:v>
      </x:c>
      <x:c r="J11" s="299" t="str">
        <x:v>Commercial reality exists, but it is still geographically concentrated rather than a mass-market replacement for human driving.</x:v>
      </x:c>
    </x:row>
    <x:row r="12">
      <x:c r="A12" s="299" t="str">
        <x:v>IoT Platform</x:v>
      </x:c>
      <x:c r="B12" s="299" t="n">
        <x:v>2016</x:v>
      </x:c>
      <x:c r="C12" s="299" t="str">
        <x:v>IT</x:v>
      </x:c>
      <x:c r="D12" s="299" t="str">
        <x:v>Pilot / pre-scale</x:v>
      </x:c>
      <x:c r="E12" s="299" t="str">
        <x:v>25.7bn global IoT connections projected for 2026</x:v>
      </x:c>
      <x:c r="F12" s="299" t="n">
        <x:v>2026</x:v>
      </x:c>
      <x:c r="G12" s="299" t="str">
        <x:v>Installed / connected IoT endpoints globally</x:v>
      </x:c>
      <x:c r="H12" s="299" t="str">
        <x:v>Mainstream / embedded ecosystem</x:v>
      </x:c>
      <x:c r="I12" s="299" t="str">
        <x:v>https://www.gsma.com/about-us/regions/north-america/wp-content/uploads/2024/02/Mobile-Policy-Handbook-2024.pdf</x:v>
      </x:c>
      <x:c r="J12" s="299" t="str">
        <x:v>The broad IoT platform label has faded while connected-device infrastructure has become widespread.</x:v>
      </x:c>
    </x:row>
    <x:row r="13">
      <x:c r="A13" s="299" t="str">
        <x:v>Blockchain</x:v>
      </x:c>
      <x:c r="B13" s="299" t="n">
        <x:v>2016</x:v>
      </x:c>
      <x:c r="C13" s="299" t="str">
        <x:v>IT</x:v>
      </x:c>
      <x:c r="D13" s="299" t="str">
        <x:v>Pilot / pre-scale</x:v>
      </x:c>
      <x:c r="E13" s="299" t="str">
        <x:v>23% of surveyed North American CFOs expected treasury crypto use within two years; 37% had discussed crypto with boards</x:v>
      </x:c>
      <x:c r="F13" s="299" t="n">
        <x:v>2025</x:v>
      </x:c>
      <x:c r="G13" s="299" t="str">
        <x:v>Corporate digital-asset adoption intent; blockchain-adjacent proxy</x:v>
      </x:c>
      <x:c r="H13" s="299" t="str">
        <x:v>Established / specialist; hype cooled</x:v>
      </x:c>
      <x:c r="I13" s="299" t="str">
        <x:v>https://www.deloitte.com/us/en/insights/topics/business-strategy-growth/2q-2025-cfo-signals-survey.html</x:v>
      </x:c>
      <x:c r="J13" s="299" t="str">
        <x:v>The technology survives, but the original 'everything on blockchain' narrative narrowed into specific financial and infrastructure use cases.</x:v>
      </x:c>
    </x:row>
    <x:row r="14">
      <x:c r="A14" s="301" t="str">
        <x:v>Commercial UAVs (Drones)</x:v>
      </x:c>
      <x:c r="B14" s="301" t="n">
        <x:v>2016</x:v>
      </x:c>
      <x:c r="C14" s="301" t="str">
        <x:v>PE</x:v>
      </x:c>
      <x:c r="D14" s="301" t="str">
        <x:v>Early commercial / niche</x:v>
      </x:c>
      <x:c r="E14" s="301" t="str">
        <x:v>FAA base forecast: 1.083m commercial/non-model small UAS in 2026</x:v>
      </x:c>
      <x:c r="F14" s="301" t="n">
        <x:v>2026</x:v>
      </x:c>
      <x:c r="G14" s="301" t="str">
        <x:v>U.S. commercial/non-model small-UAS fleet</x:v>
      </x:c>
      <x:c r="H14" s="301" t="str">
        <x:v>Established / specialist</x:v>
      </x:c>
      <x:c r="I14" s="301" t="str">
        <x:v>https://www.faa.gov/data_research/aviation/aerospace_forecasts/unmanned_aircraft_systems.pdf</x:v>
      </x:c>
      <x:c r="J14" s="301" t="str">
        <x:v>Commercial use has scaled substantially while remaining constrained by regulation, use case and operating environment.</x:v>
      </x:c>
    </x:row>
  </x:sheetData>
  <x:mergeCells>
    <x:mergeCell ref="A1:J1"/>
    <x:mergeCell ref="A2:J2"/>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24" hidden="0" customWidth="1"/>
    <x:col min="5" max="5" width="24" hidden="0" customWidth="1"/>
    <x:col min="6" max="6" width="23" hidden="0" customWidth="1"/>
    <x:col min="7" max="7" width="30" hidden="0" customWidth="1"/>
    <x:col min="8" max="8" width="52"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2" customHeight="1">
      <x:c r="A1" s="258" t="str">
        <x:v>Adoption of Hype — What Happened to 206 Emerging Technologies by 2026?</x:v>
      </x:c>
      <x:c r="B1" s="258"/>
      <x:c r="C1" s="258"/>
      <x:c r="D1" s="258"/>
      <x:c r="E1" s="258"/>
      <x:c r="F1" s="258"/>
      <x:c r="G1" s="258"/>
      <x:c r="H1" s="258"/>
      <x:c r="I1" s="149"/>
      <x:c r="J1" s="149"/>
      <x:c r="K1" s="149"/>
      <x:c r="L1" s="149"/>
      <x:c r="M1" s="149"/>
      <x:c r="N1" s="149"/>
    </x:row>
    <x:row r="2" ht="32" customHeight="1">
      <x:c r="A2" s="261" t="str">
        <x:v>The Hype Cycle measures expectations and proven value over time, not market penetration. This dashboard overlays an adoption-maturity model so the historical labels can be compared on a consistent basis.</x:v>
      </x:c>
      <x:c r="B2" s="261"/>
      <x:c r="C2" s="261"/>
      <x:c r="D2" s="261"/>
      <x:c r="E2" s="261"/>
      <x:c r="F2" s="261"/>
      <x:c r="G2" s="261"/>
      <x:c r="H2" s="261"/>
      <x:c r="I2" s="141"/>
      <x:c r="J2" s="141"/>
      <x:c r="K2" s="141"/>
      <x:c r="L2" s="141"/>
      <x:c r="M2" s="141"/>
      <x:c r="N2" s="141"/>
    </x:row>
    <x:row r="3">
      <x:c r="A3" s="195"/>
      <x:c r="B3" s="195"/>
      <x:c r="C3" s="195"/>
      <x:c r="D3" s="195"/>
      <x:c r="E3" s="195"/>
      <x:c r="F3" s="195"/>
      <x:c r="G3" s="195"/>
      <x:c r="H3" s="195"/>
    </x:row>
    <x:row r="4" ht="24" customHeight="1">
      <x:c r="A4" s="280" t="str">
        <x:v>Distinct technologies</x:v>
      </x:c>
      <x:c r="B4" s="280" t="str">
        <x:v>First appeared at Innovation Trigger</x:v>
      </x:c>
      <x:c r="C4" s="280" t="str">
        <x:v>Average initial adoption score</x:v>
      </x:c>
      <x:c r="D4" s="280" t="str">
        <x:v>Average 2026 adoption score</x:v>
      </x:c>
      <x:c r="E4" s="280" t="str">
        <x:v>Established by 2026 (score 4–5)</x:v>
      </x:c>
      <x:c r="F4" s="280" t="str">
        <x:v>Established + absorbed (score 3–5)</x:v>
      </x:c>
      <x:c r="G4" s="321"/>
      <x:c r="H4" s="321"/>
    </x:row>
    <x:row r="5">
      <x:c r="A5" s="201" t="n">
        <x:f>COUNTA('Matrix 2016-2025'!A5:A210)</x:f>
        <x:v>206</x:v>
      </x:c>
      <x:c r="B5" s="281" t="n">
        <x:f>COUNTIF('Matrix 2016-2025'!T5:T210,"IT")/A5</x:f>
        <x:v>0.6844660194174758</x:v>
      </x:c>
      <x:c r="C5" s="282" t="n">
        <x:f>AVERAGE('Matrix 2016-2025'!U5:U210)</x:f>
        <x:v>1.3203883495145632</x:v>
      </x:c>
      <x:c r="D5" s="282" t="n">
        <x:f>AVERAGE('Matrix 2016-2025'!W5:W210)</x:f>
        <x:v>3.0970873786407767</x:v>
      </x:c>
      <x:c r="E5" s="281" t="n">
        <x:f>(COUNTIF('Matrix 2016-2025'!W5:W210,4)+COUNTIF('Matrix 2016-2025'!W5:W210,5))/A5</x:f>
        <x:v>0.3932038834951456</x:v>
      </x:c>
      <x:c r="F5" s="281" t="n">
        <x:f>(COUNTIF('Matrix 2016-2025'!W5:W210,3)+COUNTIF('Matrix 2016-2025'!W5:W210,4)+COUNTIF('Matrix 2016-2025'!W5:W210,5))/A5</x:f>
        <x:v>0.6310679611650486</x:v>
      </x:c>
      <x:c r="G5" s="195"/>
      <x:c r="H5" s="195"/>
    </x:row>
    <x:row r="6">
      <x:c r="A6" s="195"/>
      <x:c r="B6" s="195"/>
      <x:c r="C6" s="195"/>
      <x:c r="D6" s="195"/>
      <x:c r="E6" s="195"/>
      <x:c r="F6" s="195"/>
      <x:c r="G6" s="195"/>
      <x:c r="H6" s="195"/>
    </x:row>
    <x:row r="7">
      <x:c r="A7" s="195"/>
      <x:c r="B7" s="195"/>
      <x:c r="C7" s="195"/>
      <x:c r="D7" s="195"/>
      <x:c r="E7" s="195"/>
      <x:c r="F7" s="195"/>
      <x:c r="G7" s="195"/>
      <x:c r="H7" s="195"/>
    </x:row>
    <x:row r="8" ht="24" customHeight="1">
      <x:c r="A8" s="321" t="str">
        <x:v>Score</x:v>
      </x:c>
      <x:c r="B8" s="321" t="str">
        <x:v>Adoption maturity</x:v>
      </x:c>
      <x:c r="C8" s="321" t="str">
        <x:v>At first appearance</x:v>
      </x:c>
      <x:c r="D8" s="321" t="str">
        <x:v>By 2026</x:v>
      </x:c>
      <x:c r="E8" s="321"/>
      <x:c r="F8" s="321" t="str">
        <x:v>2026 market outcome</x:v>
      </x:c>
      <x:c r="G8" s="321" t="str">
        <x:v>Count</x:v>
      </x:c>
      <x:c r="H8" s="321" t="str">
        <x:v>Share</x:v>
      </x:c>
    </x:row>
    <x:row r="9">
      <x:c r="A9" s="195" t="n">
        <x:v>0</x:v>
      </x:c>
      <x:c r="B9" s="195" t="str">
        <x:v>Research / conceptual</x:v>
      </x:c>
      <x:c r="C9" s="195" t="n">
        <x:f>COUNTIF('Matrix 2016-2025'!$U$5:$U$210,A9)</x:f>
        <x:v>0</x:v>
      </x:c>
      <x:c r="D9" s="195" t="n">
        <x:f>COUNTIF('Matrix 2016-2025'!$W$5:$W$210,A9)</x:f>
        <x:v>0</x:v>
      </x:c>
      <x:c r="E9" s="195"/>
      <x:c r="F9" s="195" t="str">
        <x:v>Established / mainstream</x:v>
      </x:c>
      <x:c r="G9" s="195" t="n">
        <x:f>COUNTIF('Matrix 2016-2025'!$Q$5:$Q$210,F9)</x:f>
        <x:v>40</x:v>
      </x:c>
      <x:c r="H9" s="239" t="n">
        <x:f>G9/$A$5</x:f>
        <x:v>0.1941747572815534</x:v>
      </x:c>
    </x:row>
    <x:row r="10">
      <x:c r="A10" s="195" t="n">
        <x:v>1</x:v>
      </x:c>
      <x:c r="B10" s="195" t="str">
        <x:v>Pilot / pre-scale</x:v>
      </x:c>
      <x:c r="C10" s="195" t="n">
        <x:f>COUNTIF('Matrix 2016-2025'!$U$5:$U$210,A10)</x:f>
        <x:v>141</x:v>
      </x:c>
      <x:c r="D10" s="195" t="n">
        <x:f>COUNTIF('Matrix 2016-2025'!$W$5:$W$210,A10)</x:f>
        <x:v>25</x:v>
      </x:c>
      <x:c r="E10" s="195"/>
      <x:c r="F10" s="195" t="str">
        <x:v>Established / specialist</x:v>
      </x:c>
      <x:c r="G10" s="195" t="n">
        <x:f>COUNTIF('Matrix 2016-2025'!$Q$5:$Q$210,F10)</x:f>
        <x:v>41</x:v>
      </x:c>
      <x:c r="H10" s="239" t="n">
        <x:f>G10/$A$5</x:f>
        <x:v>0.19902912621359223</x:v>
      </x:c>
    </x:row>
    <x:row r="11">
      <x:c r="A11" s="195" t="n">
        <x:v>2</x:v>
      </x:c>
      <x:c r="B11" s="195" t="str">
        <x:v>Early commercial / niche</x:v>
      </x:c>
      <x:c r="C11" s="195" t="n">
        <x:f>COUNTIF('Matrix 2016-2025'!$U$5:$U$210,A11)</x:f>
        <x:v>64</x:v>
      </x:c>
      <x:c r="D11" s="195" t="n">
        <x:f>COUNTIF('Matrix 2016-2025'!$W$5:$W$210,A11)</x:f>
        <x:v>51</x:v>
      </x:c>
      <x:c r="E11" s="195"/>
      <x:c r="F11" s="195" t="str">
        <x:v>Superseded / absorbed</x:v>
      </x:c>
      <x:c r="G11" s="195" t="n">
        <x:f>COUNTIF('Matrix 2016-2025'!$Q$5:$Q$210,F11)</x:f>
        <x:v>31</x:v>
      </x:c>
      <x:c r="H11" s="239" t="n">
        <x:f>G11/$A$5</x:f>
        <x:v>0.15048543689320387</x:v>
      </x:c>
    </x:row>
    <x:row r="12">
      <x:c r="A12" s="195" t="n">
        <x:v>3</x:v>
      </x:c>
      <x:c r="B12" s="195" t="str">
        <x:v>Established niche / absorbed</x:v>
      </x:c>
      <x:c r="C12" s="195" t="n">
        <x:f>COUNTIF('Matrix 2016-2025'!$U$5:$U$210,A12)</x:f>
        <x:v>1</x:v>
      </x:c>
      <x:c r="D12" s="195" t="n">
        <x:f>COUNTIF('Matrix 2016-2025'!$W$5:$W$210,A12)</x:f>
        <x:v>49</x:v>
      </x:c>
      <x:c r="E12" s="195"/>
      <x:c r="F12" s="195" t="str">
        <x:v>Still emerging / evolving</x:v>
      </x:c>
      <x:c r="G12" s="195" t="n">
        <x:f>COUNTIF('Matrix 2016-2025'!$Q$5:$Q$210,F12)</x:f>
        <x:v>23</x:v>
      </x:c>
      <x:c r="H12" s="239" t="n">
        <x:f>G12/$A$5</x:f>
        <x:v>0.11165048543689321</x:v>
      </x:c>
    </x:row>
    <x:row r="13">
      <x:c r="A13" s="195" t="n">
        <x:v>4</x:v>
      </x:c>
      <x:c r="B13" s="195" t="str">
        <x:v>Broad specialist adoption</x:v>
      </x:c>
      <x:c r="C13" s="195" t="n">
        <x:f>COUNTIF('Matrix 2016-2025'!$U$5:$U$210,A13)</x:f>
        <x:v>0</x:v>
      </x:c>
      <x:c r="D13" s="195" t="n">
        <x:f>COUNTIF('Matrix 2016-2025'!$W$5:$W$210,A13)</x:f>
        <x:v>41</x:v>
      </x:c>
      <x:c r="E13" s="195"/>
      <x:c r="F13" s="195" t="str">
        <x:v>Still emerging / long-horizon</x:v>
      </x:c>
      <x:c r="G13" s="195" t="n">
        <x:f>COUNTIF('Matrix 2016-2025'!$Q$5:$Q$210,F13)</x:f>
        <x:v>25</x:v>
      </x:c>
      <x:c r="H13" s="239" t="n">
        <x:f>G13/$A$5</x:f>
        <x:v>0.12135922330097088</x:v>
      </x:c>
    </x:row>
    <x:row r="14">
      <x:c r="A14" s="195" t="n">
        <x:v>5</x:v>
      </x:c>
      <x:c r="B14" s="195" t="str">
        <x:v>Mainstream / embedded</x:v>
      </x:c>
      <x:c r="C14" s="195" t="n">
        <x:f>COUNTIF('Matrix 2016-2025'!$U$5:$U$210,A14)</x:f>
        <x:v>0</x:v>
      </x:c>
      <x:c r="D14" s="195" t="n">
        <x:f>COUNTIF('Matrix 2016-2025'!$W$5:$W$210,A14)</x:f>
        <x:v>40</x:v>
      </x:c>
      <x:c r="E14" s="195"/>
      <x:c r="F14" s="195" t="str">
        <x:v>Exited flagship / specialist</x:v>
      </x:c>
      <x:c r="G14" s="195" t="n">
        <x:f>COUNTIF('Matrix 2016-2025'!$Q$5:$Q$210,F14)</x:f>
        <x:v>18</x:v>
      </x:c>
      <x:c r="H14" s="239" t="n">
        <x:f>G14/$A$5</x:f>
        <x:v>0.08737864077669903</x:v>
      </x:c>
    </x:row>
    <x:row r="15">
      <x:c r="A15" s="195"/>
      <x:c r="B15" s="195"/>
      <x:c r="C15" s="195"/>
      <x:c r="D15" s="195"/>
      <x:c r="E15" s="195"/>
      <x:c r="F15" s="195" t="str">
        <x:v>Exited flagship / evolving</x:v>
      </x:c>
      <x:c r="G15" s="195" t="n">
        <x:f>COUNTIF('Matrix 2016-2025'!$Q$5:$Q$210,F15)</x:f>
        <x:v>15</x:v>
      </x:c>
      <x:c r="H15" s="239" t="n">
        <x:f>G15/$A$5</x:f>
        <x:v>0.07281553398058252</x:v>
      </x:c>
    </x:row>
    <x:row r="16">
      <x:c r="A16" s="195"/>
      <x:c r="B16" s="195"/>
      <x:c r="C16" s="195"/>
      <x:c r="D16" s="195"/>
      <x:c r="E16" s="195"/>
      <x:c r="F16" s="195" t="str">
        <x:v>Hype cooled / niche</x:v>
      </x:c>
      <x:c r="G16" s="195" t="n">
        <x:f>COUNTIF('Matrix 2016-2025'!$Q$5:$Q$210,F16)</x:f>
        <x:v>13</x:v>
      </x:c>
      <x:c r="H16" s="239" t="n">
        <x:f>G16/$A$5</x:f>
        <x:v>0.06310679611650485</x:v>
      </x:c>
    </x:row>
    <x:row r="17">
      <x:c r="A17" s="195"/>
      <x:c r="B17" s="195"/>
      <x:c r="C17" s="195"/>
      <x:c r="D17" s="195"/>
      <x:c r="E17" s="195"/>
      <x:c r="F17" s="195"/>
      <x:c r="G17" s="195"/>
      <x:c r="H17" s="195"/>
    </x:row>
    <x:row r="18" ht="24" customHeight="1">
      <x:c r="A18" s="321" t="str">
        <x:v>First seen</x:v>
      </x:c>
      <x:c r="B18" s="321" t="str">
        <x:v>Technologies</x:v>
      </x:c>
      <x:c r="C18" s="321" t="str">
        <x:v>Avg 2026 adoption score</x:v>
      </x:c>
      <x:c r="D18" s="321" t="str">
        <x:v>Established share (score 4–5)</x:v>
      </x:c>
      <x:c r="E18" s="321"/>
      <x:c r="F18" s="321" t="str">
        <x:v>What the longitudinal data says</x:v>
      </x:c>
      <x:c r="G18" s="321"/>
      <x:c r="H18" s="321"/>
      <x:c r="I18" s="146"/>
      <x:c r="J18" s="146"/>
      <x:c r="K18" s="146"/>
      <x:c r="L18" s="146"/>
      <x:c r="M18" s="146"/>
      <x:c r="N18" s="146"/>
    </x:row>
    <x:row r="19">
      <x:c r="A19" s="195" t="n">
        <x:v>2016</x:v>
      </x:c>
      <x:c r="B19" s="195" t="n">
        <x:f>COUNTIF('Matrix 2016-2025'!$N$5:$N$210,A19)</x:f>
        <x:v>34</x:v>
      </x:c>
      <x:c r="C19" s="240" t="n">
        <x:f>AVERAGEIF('Matrix 2016-2025'!$N$5:$N$210,A19,'Matrix 2016-2025'!$W$5:$W$210)</x:f>
        <x:v>2.911764705882353</x:v>
      </x:c>
      <x:c r="D19" s="239" t="n">
        <x:f>COUNTIFS('Matrix 2016-2025'!$N$5:$N$210,A19,'Matrix 2016-2025'!$W$5:$W$210,"&gt;=4")/B19</x:f>
        <x:v>0.29411764705882354</x:v>
      </x:c>
      <x:c r="E19" s="195"/>
      <x:c r="F19" s="195"/>
      <x:c r="G19" s="195"/>
      <x:c r="H19" s="195"/>
    </x:row>
    <x:row r="20" ht="46" customHeight="1">
      <x:c r="A20" s="195" t="n">
        <x:v>2017</x:v>
      </x:c>
      <x:c r="B20" s="195" t="n">
        <x:f>COUNTIF('Matrix 2016-2025'!$N$5:$N$210,A20)</x:f>
        <x:v>10</x:v>
      </x:c>
      <x:c r="C20" s="240" t="n">
        <x:f>AVERAGEIF('Matrix 2016-2025'!$N$5:$N$210,A20,'Matrix 2016-2025'!$W$5:$W$210)</x:f>
        <x:v>3.9</x:v>
      </x:c>
      <x:c r="D20" s="239" t="n">
        <x:f>COUNTIFS('Matrix 2016-2025'!$N$5:$N$210,A20,'Matrix 2016-2025'!$W$5:$W$210,"&gt;=4")/B20</x:f>
        <x:v>0.6</x:v>
      </x:c>
      <x:c r="E20" s="195"/>
      <x:c r="F20" s="194" t="str">
        <x:v>1</x:v>
      </x:c>
      <x:c r="G20" s="194" t="str">
        <x:v>Most technologies enter before adoption is proven.</x:v>
      </x:c>
      <x:c r="H20" s="195" t="str">
        <x:v>141 of 206 labels first appeared at the Innovation Trigger. The flagship is structurally biased toward attention before scale.</x:v>
      </x:c>
      <x:c r="I20" s="86"/>
      <x:c r="J20" s="86"/>
      <x:c r="K20" s="86"/>
      <x:c r="L20" s="86"/>
      <x:c r="M20" s="86"/>
      <x:c r="N20" s="86"/>
    </x:row>
    <x:row r="21" ht="46" customHeight="1">
      <x:c r="A21" s="195" t="n">
        <x:v>2018</x:v>
      </x:c>
      <x:c r="B21" s="195" t="n">
        <x:f>COUNTIF('Matrix 2016-2025'!$N$5:$N$210,A21)</x:f>
        <x:v>19</x:v>
      </x:c>
      <x:c r="C21" s="240" t="n">
        <x:f>AVERAGEIF('Matrix 2016-2025'!$N$5:$N$210,A21,'Matrix 2016-2025'!$W$5:$W$210)</x:f>
        <x:v>3.0526315789473686</x:v>
      </x:c>
      <x:c r="D21" s="239" t="n">
        <x:f>COUNTIFS('Matrix 2016-2025'!$N$5:$N$210,A21,'Matrix 2016-2025'!$W$5:$W$210,"&gt;=4")/B21</x:f>
        <x:v>0.47368421052631576</x:v>
      </x:c>
      <x:c r="E21" s="195"/>
      <x:c r="F21" s="194" t="str">
        <x:v>2</x:v>
      </x:c>
      <x:c r="G21" s="194" t="str">
        <x:v>A large minority became genuinely established.</x:v>
      </x:c>
      <x:c r="H21" s="195" t="str">
        <x:v>40 labels are assessed as mainstream by 2026 and another 41 as established specialist technologies.</x:v>
      </x:c>
      <x:c r="I21" s="86"/>
      <x:c r="J21" s="86"/>
      <x:c r="K21" s="86"/>
      <x:c r="L21" s="86"/>
      <x:c r="M21" s="86"/>
      <x:c r="N21" s="86"/>
    </x:row>
    <x:row r="22" ht="46" customHeight="1">
      <x:c r="A22" s="195" t="n">
        <x:v>2019</x:v>
      </x:c>
      <x:c r="B22" s="195" t="n">
        <x:f>COUNTIF('Matrix 2016-2025'!$N$5:$N$210,A22)</x:f>
        <x:v>20</x:v>
      </x:c>
      <x:c r="C22" s="240" t="n">
        <x:f>AVERAGEIF('Matrix 2016-2025'!$N$5:$N$210,A22,'Matrix 2016-2025'!$W$5:$W$210)</x:f>
        <x:v>3.3</x:v>
      </x:c>
      <x:c r="D22" s="239" t="n">
        <x:f>COUNTIFS('Matrix 2016-2025'!$N$5:$N$210,A22,'Matrix 2016-2025'!$W$5:$W$210,"&gt;=4")/B22</x:f>
        <x:v>0.35</x:v>
      </x:c>
      <x:c r="E22" s="195"/>
      <x:c r="F22" s="194" t="str">
        <x:v>3</x:v>
      </x:c>
      <x:c r="G22" s="194" t="str">
        <x:v>Disappearance is not failure.</x:v>
      </x:c>
      <x:c r="H22" s="195" t="str">
        <x:v>31 labels were absorbed or superseded; many survived inside broader platforms or successor terminology rather than progressing visibly to Gartner's Plateau.</x:v>
      </x:c>
      <x:c r="I22" s="86"/>
      <x:c r="J22" s="86"/>
      <x:c r="K22" s="86"/>
      <x:c r="L22" s="86"/>
      <x:c r="M22" s="86"/>
      <x:c r="N22" s="86"/>
    </x:row>
    <x:row r="23" ht="46" customHeight="1">
      <x:c r="A23" s="195" t="n">
        <x:v>2020</x:v>
      </x:c>
      <x:c r="B23" s="195" t="n">
        <x:f>COUNTIF('Matrix 2016-2025'!$N$5:$N$210,A23)</x:f>
        <x:v>27</x:v>
      </x:c>
      <x:c r="C23" s="240" t="n">
        <x:f>AVERAGEIF('Matrix 2016-2025'!$N$5:$N$210,A23,'Matrix 2016-2025'!$W$5:$W$210)</x:f>
        <x:v>3.1481481481481484</x:v>
      </x:c>
      <x:c r="D23" s="239" t="n">
        <x:f>COUNTIFS('Matrix 2016-2025'!$N$5:$N$210,A23,'Matrix 2016-2025'!$W$5:$W$210,"&gt;=4")/B23</x:f>
        <x:v>0.37037037037037035</x:v>
      </x:c>
      <x:c r="E23" s="195"/>
      <x:c r="F23" s="194" t="str">
        <x:v>4</x:v>
      </x:c>
      <x:c r="G23" s="194" t="str">
        <x:v>Hype can convert quickly.</x:v>
      </x:c>
      <x:c r="H23" s="195" t="str">
        <x:v>Generative AI moved from Innovation Trigger in 2020 to widespread organisational use within five years.</x:v>
      </x:c>
      <x:c r="I23" s="86"/>
      <x:c r="J23" s="86"/>
      <x:c r="K23" s="86"/>
      <x:c r="L23" s="86"/>
      <x:c r="M23" s="86"/>
      <x:c r="N23" s="86"/>
    </x:row>
    <x:row r="24" ht="46" customHeight="1">
      <x:c r="A24" s="195" t="n">
        <x:v>2021</x:v>
      </x:c>
      <x:c r="B24" s="195" t="n">
        <x:f>COUNTIF('Matrix 2016-2025'!$N$5:$N$210,A24)</x:f>
        <x:v>21</x:v>
      </x:c>
      <x:c r="C24" s="240" t="n">
        <x:f>AVERAGEIF('Matrix 2016-2025'!$N$5:$N$210,A24,'Matrix 2016-2025'!$W$5:$W$210)</x:f>
        <x:v>2.857142857142857</x:v>
      </x:c>
      <x:c r="D24" s="239" t="n">
        <x:f>COUNTIFS('Matrix 2016-2025'!$N$5:$N$210,A24,'Matrix 2016-2025'!$W$5:$W$210,"&gt;=4")/B24</x:f>
        <x:v>0.38095238095238093</x:v>
      </x:c>
      <x:c r="E24" s="195"/>
      <x:c r="F24" s="194" t="str">
        <x:v>5</x:v>
      </x:c>
      <x:c r="G24" s="194" t="str">
        <x:v>Hype can also remain ahead of deployment.</x:v>
      </x:c>
      <x:c r="H24" s="195" t="str">
        <x:v>AI agents reached the Peak while Gartner reported only 17% of organisations had deployed them in 2026.</x:v>
      </x:c>
      <x:c r="I24" s="86"/>
      <x:c r="J24" s="86"/>
      <x:c r="K24" s="86"/>
      <x:c r="L24" s="86"/>
      <x:c r="M24" s="86"/>
      <x:c r="N24" s="86"/>
    </x:row>
    <x:row r="25" ht="46" customHeight="1">
      <x:c r="A25" s="195" t="n">
        <x:v>2022</x:v>
      </x:c>
      <x:c r="B25" s="195" t="n">
        <x:f>COUNTIF('Matrix 2016-2025'!$N$5:$N$210,A25)</x:f>
        <x:v>23</x:v>
      </x:c>
      <x:c r="C25" s="240" t="n">
        <x:f>AVERAGEIF('Matrix 2016-2025'!$N$5:$N$210,A25,'Matrix 2016-2025'!$W$5:$W$210)</x:f>
        <x:v>3.347826086956522</x:v>
      </x:c>
      <x:c r="D25" s="239" t="n">
        <x:f>COUNTIFS('Matrix 2016-2025'!$N$5:$N$210,A25,'Matrix 2016-2025'!$W$5:$W$210,"&gt;=4")/B25</x:f>
        <x:v>0.5217391304347826</x:v>
      </x:c>
      <x:c r="E25" s="195"/>
      <x:c r="F25" s="194" t="str">
        <x:v>6</x:v>
      </x:c>
      <x:c r="G25" s="194" t="str">
        <x:v>Time horizon matters.</x:v>
      </x:c>
      <x:c r="H25" s="195" t="str">
        <x:v>25 labels remain long-horizon by 2026; quantum computing shows real commercial spending without broad enterprise penetration.</x:v>
      </x:c>
      <x:c r="I25" s="86"/>
      <x:c r="J25" s="86"/>
      <x:c r="K25" s="86"/>
      <x:c r="L25" s="86"/>
      <x:c r="M25" s="86"/>
      <x:c r="N25" s="86"/>
    </x:row>
    <x:row r="26">
      <x:c r="A26" s="195" t="n">
        <x:v>2023</x:v>
      </x:c>
      <x:c r="B26" s="195" t="n">
        <x:f>COUNTIF('Matrix 2016-2025'!$N$5:$N$210,A26)</x:f>
        <x:v>17</x:v>
      </x:c>
      <x:c r="C26" s="240" t="n">
        <x:f>AVERAGEIF('Matrix 2016-2025'!$N$5:$N$210,A26,'Matrix 2016-2025'!$W$5:$W$210)</x:f>
        <x:v>4.0588235294117645</x:v>
      </x:c>
      <x:c r="D26" s="239" t="n">
        <x:f>COUNTIFS('Matrix 2016-2025'!$N$5:$N$210,A26,'Matrix 2016-2025'!$W$5:$W$210,"&gt;=4")/B26</x:f>
        <x:v>0.6470588235294118</x:v>
      </x:c>
      <x:c r="E26" s="195"/>
      <x:c r="F26" s="195"/>
      <x:c r="G26" s="195"/>
      <x:c r="H26" s="195"/>
    </x:row>
    <x:row r="27">
      <x:c r="A27" s="195" t="n">
        <x:v>2024</x:v>
      </x:c>
      <x:c r="B27" s="195" t="n">
        <x:f>COUNTIF('Matrix 2016-2025'!$N$5:$N$210,A27)</x:f>
        <x:v>13</x:v>
      </x:c>
      <x:c r="C27" s="240" t="n">
        <x:f>AVERAGEIF('Matrix 2016-2025'!$N$5:$N$210,A27,'Matrix 2016-2025'!$W$5:$W$210)</x:f>
        <x:v>3</x:v>
      </x:c>
      <x:c r="D27" s="239" t="n">
        <x:f>COUNTIFS('Matrix 2016-2025'!$N$5:$N$210,A27,'Matrix 2016-2025'!$W$5:$W$210,"&gt;=4")/B27</x:f>
        <x:v>0.46153846153846156</x:v>
      </x:c>
      <x:c r="E27" s="195"/>
      <x:c r="F27" s="195"/>
      <x:c r="G27" s="195"/>
      <x:c r="H27" s="195"/>
    </x:row>
    <x:row r="28">
      <x:c r="A28" s="195" t="n">
        <x:v>2025</x:v>
      </x:c>
      <x:c r="B28" s="195" t="n">
        <x:f>COUNTIF('Matrix 2016-2025'!$N$5:$N$210,A28)</x:f>
        <x:v>22</x:v>
      </x:c>
      <x:c r="C28" s="240" t="n">
        <x:f>AVERAGEIF('Matrix 2016-2025'!$N$5:$N$210,A28,'Matrix 2016-2025'!$W$5:$W$210)</x:f>
        <x:v>2.090909090909091</x:v>
      </x:c>
      <x:c r="D28" s="239" t="n">
        <x:f>COUNTIFS('Matrix 2016-2025'!$N$5:$N$210,A28,'Matrix 2016-2025'!$W$5:$W$210,"&gt;=4")/B28</x:f>
        <x:v>0.09090909090909091</x:v>
      </x:c>
      <x:c r="E28" s="195"/>
      <x:c r="F28" s="195"/>
      <x:c r="G28" s="195"/>
      <x:c r="H28" s="195"/>
    </x:row>
  </x:sheetData>
  <x:mergeCells>
    <x:mergeCell ref="A1:N1"/>
    <x:mergeCell ref="A2:N2"/>
    <x:mergeCell ref="F18:N18"/>
  </x:mergeCells>
  <x:pageMargins left="0.7" right="0.7" top="0.75" bottom="0.75" header="0.3" footer="0.3"/>
  <x:drawing xmlns:r="http://schemas.openxmlformats.org/officeDocument/2006/relationships" r:id="Rce0943bfd6ab4907"/>
</x:worksheet>
</file>

<file path=xl/worksheets/sheet9.xml><?xml version="1.0" encoding="utf-8"?>
<x:worksheet xmlns:x="http://schemas.openxmlformats.org/spreadsheetml/2006/main">
  <x:sheetFormatPr defaultRowHeight="15"/>
  <x:cols>
    <x:col min="1" max="1" width="30" hidden="0" customWidth="1"/>
    <x:col min="2" max="2" width="22" hidden="0" customWidth="1"/>
    <x:col min="3" max="3" width="8" hidden="0" customWidth="1"/>
    <x:col min="4" max="4" width="31" hidden="0" customWidth="1"/>
    <x:col min="5" max="5" width="23" hidden="0" customWidth="1"/>
    <x:col min="6" max="6" width="16" hidden="0" customWidth="1"/>
    <x:col min="7" max="7" width="16" hidden="0" customWidth="1"/>
    <x:col min="8" max="8" width="16" hidden="0" customWidth="1"/>
  </x:cols>
  <x:sheetData>
    <x:row r="1" ht="22" customHeight="1">
      <x:c r="A1" s="258" t="str">
        <x:v>Blog Evidence — Hype, Adoption and Strategy</x:v>
      </x:c>
      <x:c r="B1" s="258"/>
      <x:c r="C1" s="258"/>
      <x:c r="D1" s="258"/>
      <x:c r="E1" s="258"/>
      <x:c r="F1" s="258"/>
      <x:c r="G1" s="258"/>
      <x:c r="H1" s="258"/>
      <x:c r="I1" s="258"/>
      <x:c r="J1" s="258"/>
      <x:c r="K1" s="258"/>
      <x:c r="L1" s="258"/>
      <x:c r="M1" s="258"/>
      <x:c r="N1" s="258"/>
      <x:c r="O1" s="258"/>
      <x:c r="P1" s="258"/>
      <x:c r="Q1" s="258"/>
    </x:row>
    <x:row r="2" ht="32" customHeight="1">
      <x:c r="A2" s="261" t="str">
        <x:v>Citation-ready evidence behind “What Happens When Every Analyst Agrees?” Gartner longitudinal data is retained in the original workbook tabs; cross-analyst evidence is added here.</x:v>
      </x:c>
      <x:c r="B2" s="261"/>
      <x:c r="C2" s="261"/>
      <x:c r="D2" s="261"/>
      <x:c r="E2" s="261"/>
      <x:c r="F2" s="261"/>
      <x:c r="G2" s="261"/>
      <x:c r="H2" s="261"/>
      <x:c r="I2" s="261"/>
      <x:c r="J2" s="261"/>
      <x:c r="K2" s="261"/>
      <x:c r="L2" s="261"/>
      <x:c r="M2" s="261"/>
      <x:c r="N2" s="261"/>
      <x:c r="O2" s="261"/>
      <x:c r="P2" s="261"/>
      <x:c r="Q2" s="261"/>
    </x:row>
    <x:row r="3">
      <x:c r="A3" s="195"/>
      <x:c r="B3" s="195"/>
      <x:c r="C3" s="195"/>
      <x:c r="D3" s="195"/>
      <x:c r="E3" s="195"/>
      <x:c r="F3" s="195"/>
      <x:c r="G3" s="195"/>
      <x:c r="H3" s="195"/>
      <x:c r="I3" s="195"/>
      <x:c r="J3" s="195"/>
      <x:c r="K3" s="195"/>
      <x:c r="L3" s="195"/>
      <x:c r="M3" s="195"/>
      <x:c r="N3" s="195"/>
      <x:c r="O3" s="195"/>
      <x:c r="P3" s="195"/>
      <x:c r="Q3" s="195"/>
    </x:row>
    <x:row r="4" ht="24" customHeight="1">
      <x:c r="A4" s="322" t="str">
        <x:v>Gartner longitudinal finding</x:v>
      </x:c>
      <x:c r="B4" s="323" t="str">
        <x:v>Value</x:v>
      </x:c>
      <x:c r="C4" s="321"/>
      <x:c r="D4" s="322" t="str">
        <x:v>AI adoption/value finding</x:v>
      </x:c>
      <x:c r="E4" s="323" t="str">
        <x:v>2026 result</x:v>
      </x:c>
      <x:c r="F4" s="321"/>
      <x:c r="G4" s="321"/>
      <x:c r="H4" s="321"/>
      <x:c r="I4" s="321"/>
      <x:c r="J4" s="321"/>
      <x:c r="K4" s="321"/>
      <x:c r="L4" s="321"/>
      <x:c r="M4" s="321"/>
      <x:c r="N4" s="321"/>
      <x:c r="O4" s="321"/>
      <x:c r="P4" s="321"/>
      <x:c r="Q4" s="321"/>
    </x:row>
    <x:row r="5">
      <x:c r="A5" s="292" t="str">
        <x:v>Distinct technologies, 2016–2025</x:v>
      </x:c>
      <x:c r="B5" s="294" t="n">
        <x:f>'Adoption Summary'!A5</x:f>
        <x:v>206</x:v>
      </x:c>
      <x:c r="C5" s="195"/>
      <x:c r="D5" s="292" t="str">
        <x:v>Regular AI use in ≥1 function</x:v>
      </x:c>
      <x:c r="E5" s="297" t="n">
        <x:v>0.89</x:v>
      </x:c>
      <x:c r="F5" s="195"/>
      <x:c r="G5" s="195"/>
      <x:c r="H5" s="195"/>
      <x:c r="I5" s="195"/>
      <x:c r="J5" s="195"/>
      <x:c r="K5" s="195"/>
      <x:c r="L5" s="195"/>
      <x:c r="M5" s="195"/>
      <x:c r="N5" s="195"/>
      <x:c r="O5" s="195"/>
      <x:c r="P5" s="195"/>
      <x:c r="Q5" s="195"/>
    </x:row>
    <x:row r="6">
      <x:c r="A6" s="292" t="str">
        <x:v>Mainstream by 2026</x:v>
      </x:c>
      <x:c r="B6" s="295" t="n">
        <x:f>'Adoption Summary'!G9/'Adoption Summary'!A5</x:f>
        <x:v>0.1941747572815534</x:v>
      </x:c>
      <x:c r="C6" s="195"/>
      <x:c r="D6" s="292" t="str">
        <x:v>Scaling across enterprise</x:v>
      </x:c>
      <x:c r="E6" s="297" t="n">
        <x:v>0.44</x:v>
      </x:c>
      <x:c r="F6" s="195"/>
      <x:c r="G6" s="195"/>
      <x:c r="H6" s="195"/>
      <x:c r="I6" s="195"/>
      <x:c r="J6" s="195"/>
      <x:c r="K6" s="195"/>
      <x:c r="L6" s="195"/>
      <x:c r="M6" s="195"/>
      <x:c r="N6" s="195"/>
      <x:c r="O6" s="195"/>
      <x:c r="P6" s="195"/>
      <x:c r="Q6" s="195"/>
    </x:row>
    <x:row r="7">
      <x:c r="A7" s="292" t="str">
        <x:v>Specialist + mainstream + absorbed</x:v>
      </x:c>
      <x:c r="B7" s="295" t="n">
        <x:f>SUM('Adoption Summary'!G9:G11)/'Adoption Summary'!A5</x:f>
        <x:v>0.5436893203883495</x:v>
      </x:c>
      <x:c r="C7" s="195"/>
      <x:c r="D7" s="292" t="str">
        <x:v>Positive EBIT impact attributed to AI</x:v>
      </x:c>
      <x:c r="E7" s="297" t="n">
        <x:v>0.37</x:v>
      </x:c>
      <x:c r="F7" s="195"/>
      <x:c r="G7" s="195"/>
      <x:c r="H7" s="195"/>
      <x:c r="I7" s="195"/>
      <x:c r="J7" s="195"/>
      <x:c r="K7" s="195"/>
      <x:c r="L7" s="195"/>
      <x:c r="M7" s="195"/>
      <x:c r="N7" s="195"/>
      <x:c r="O7" s="195"/>
      <x:c r="P7" s="195"/>
      <x:c r="Q7" s="195"/>
    </x:row>
    <x:row r="8">
      <x:c r="A8" s="293" t="str">
        <x:v>First appeared at Innovation Trigger</x:v>
      </x:c>
      <x:c r="B8" s="296" t="n">
        <x:f>'Adoption Summary'!B5</x:f>
        <x:v>0.6844660194174758</x:v>
      </x:c>
      <x:c r="C8" s="195"/>
      <x:c r="D8" s="292" t="str">
        <x:v>AI high performers</x:v>
      </x:c>
      <x:c r="E8" s="297" t="n">
        <x:v>0.06</x:v>
      </x:c>
      <x:c r="F8" s="195"/>
      <x:c r="G8" s="195"/>
      <x:c r="H8" s="195"/>
      <x:c r="I8" s="195"/>
      <x:c r="J8" s="195"/>
      <x:c r="K8" s="195"/>
      <x:c r="L8" s="195"/>
      <x:c r="M8" s="195"/>
      <x:c r="N8" s="195"/>
      <x:c r="O8" s="195"/>
      <x:c r="P8" s="195"/>
      <x:c r="Q8" s="195"/>
    </x:row>
    <x:row r="9">
      <x:c r="A9" s="195"/>
      <x:c r="B9" s="195"/>
      <x:c r="C9" s="195"/>
      <x:c r="D9" s="293" t="str">
        <x:v>Individual productivity improvement</x:v>
      </x:c>
      <x:c r="E9" s="298" t="n">
        <x:v>0.8</x:v>
      </x:c>
      <x:c r="F9" s="195"/>
      <x:c r="G9" s="195"/>
      <x:c r="H9" s="195"/>
      <x:c r="I9" s="195"/>
      <x:c r="J9" s="195"/>
      <x:c r="K9" s="195"/>
      <x:c r="L9" s="195"/>
      <x:c r="M9" s="195"/>
      <x:c r="N9" s="195"/>
      <x:c r="O9" s="195"/>
      <x:c r="P9" s="195"/>
      <x:c r="Q9" s="195"/>
    </x:row>
    <x:row r="10">
      <x:c r="A10" s="195"/>
      <x:c r="B10" s="195"/>
      <x:c r="C10" s="195"/>
      <x:c r="D10" s="195"/>
      <x:c r="E10" s="195"/>
      <x:c r="F10" s="195"/>
      <x:c r="G10" s="195"/>
      <x:c r="H10" s="195"/>
      <x:c r="I10" s="195"/>
      <x:c r="J10" s="195"/>
      <x:c r="K10" s="195"/>
      <x:c r="L10" s="195"/>
      <x:c r="M10" s="195"/>
      <x:c r="N10" s="195"/>
      <x:c r="O10" s="195"/>
      <x:c r="P10" s="195"/>
      <x:c r="Q10" s="195"/>
    </x:row>
    <x:row r="11" ht="20" customHeight="1">
      <x:c r="A11" s="274" t="str">
        <x:v>How to interpret the evidence</x:v>
      </x:c>
      <x:c r="B11" s="274"/>
      <x:c r="C11" s="274"/>
      <x:c r="D11" s="274"/>
      <x:c r="E11" s="274"/>
      <x:c r="F11" s="274"/>
      <x:c r="G11" s="274"/>
      <x:c r="H11" s="274"/>
      <x:c r="I11" s="195"/>
      <x:c r="J11" s="195"/>
      <x:c r="K11" s="195"/>
      <x:c r="L11" s="195"/>
      <x:c r="M11" s="195"/>
      <x:c r="N11" s="195"/>
      <x:c r="O11" s="195"/>
      <x:c r="P11" s="195"/>
      <x:c r="Q11" s="195"/>
    </x:row>
    <x:row r="12">
      <x:c r="A12" s="195" t="str">
        <x:v>Visibility</x:v>
      </x:c>
      <x:c r="B12" s="195" t="str">
        <x:v>Analyst coverage / attention</x:v>
      </x:c>
      <x:c r="C12" s="195" t="str">
        <x:v>≠</x:v>
      </x:c>
      <x:c r="D12" s="195" t="str">
        <x:v>Adoption</x:v>
      </x:c>
      <x:c r="E12" s="195" t="str">
        <x:v>Organisations using it</x:v>
      </x:c>
      <x:c r="F12" s="195"/>
      <x:c r="G12" s="195"/>
      <x:c r="H12" s="195"/>
      <x:c r="I12" s="195"/>
      <x:c r="J12" s="195"/>
      <x:c r="K12" s="195"/>
      <x:c r="L12" s="195"/>
      <x:c r="M12" s="195"/>
      <x:c r="N12" s="195"/>
      <x:c r="O12" s="195"/>
      <x:c r="P12" s="195"/>
      <x:c r="Q12" s="195"/>
    </x:row>
    <x:row r="13">
      <x:c r="A13" s="195" t="str">
        <x:v>Adoption</x:v>
      </x:c>
      <x:c r="B13" s="195" t="str">
        <x:v>Usage in one or more contexts</x:v>
      </x:c>
      <x:c r="C13" s="195" t="str">
        <x:v>≠</x:v>
      </x:c>
      <x:c r="D13" s="195" t="str">
        <x:v>Scale</x:v>
      </x:c>
      <x:c r="E13" s="195" t="str">
        <x:v>Enterprise-wide integration</x:v>
      </x:c>
      <x:c r="F13" s="195"/>
      <x:c r="G13" s="195"/>
      <x:c r="H13" s="195"/>
      <x:c r="I13" s="195"/>
      <x:c r="J13" s="195"/>
      <x:c r="K13" s="195"/>
      <x:c r="L13" s="195"/>
      <x:c r="M13" s="195"/>
      <x:c r="N13" s="195"/>
      <x:c r="O13" s="195"/>
      <x:c r="P13" s="195"/>
      <x:c r="Q13" s="195"/>
    </x:row>
    <x:row r="14">
      <x:c r="A14" s="195" t="str">
        <x:v>Scale</x:v>
      </x:c>
      <x:c r="B14" s="195" t="str">
        <x:v>Broad deployment</x:v>
      </x:c>
      <x:c r="C14" s="195" t="str">
        <x:v>≠</x:v>
      </x:c>
      <x:c r="D14" s="195" t="str">
        <x:v>Value</x:v>
      </x:c>
      <x:c r="E14" s="195" t="str">
        <x:v>Repeatable financial / strategic impact</x:v>
      </x:c>
      <x:c r="F14" s="195"/>
      <x:c r="G14" s="195"/>
      <x:c r="H14" s="195"/>
      <x:c r="I14" s="195"/>
      <x:c r="J14" s="195"/>
      <x:c r="K14" s="195"/>
      <x:c r="L14" s="195"/>
      <x:c r="M14" s="195"/>
      <x:c r="N14" s="195"/>
      <x:c r="O14" s="195"/>
      <x:c r="P14" s="195"/>
      <x:c r="Q14" s="195"/>
    </x:row>
    <x:row r="15">
      <x:c r="A15" s="195"/>
      <x:c r="B15" s="195"/>
      <x:c r="C15" s="195"/>
      <x:c r="D15" s="195"/>
      <x:c r="E15" s="195"/>
      <x:c r="F15" s="195"/>
      <x:c r="G15" s="195"/>
      <x:c r="H15" s="195"/>
      <x:c r="I15" s="195"/>
      <x:c r="J15" s="195"/>
      <x:c r="K15" s="195"/>
      <x:c r="L15" s="195"/>
      <x:c r="M15" s="195"/>
      <x:c r="N15" s="195"/>
      <x:c r="O15" s="195"/>
      <x:c r="P15" s="195"/>
      <x:c r="Q15" s="195"/>
    </x:row>
    <x:row r="16">
      <x:c r="A16" s="195"/>
      <x:c r="B16" s="195"/>
      <x:c r="C16" s="195"/>
      <x:c r="D16" s="195"/>
      <x:c r="E16" s="195"/>
      <x:c r="F16" s="195"/>
      <x:c r="G16" s="195"/>
      <x:c r="H16" s="195"/>
      <x:c r="I16" s="195"/>
      <x:c r="J16" s="195"/>
      <x:c r="K16" s="195"/>
      <x:c r="L16" s="195"/>
      <x:c r="M16" s="195"/>
      <x:c r="N16" s="195"/>
      <x:c r="O16" s="195"/>
      <x:c r="P16" s="195"/>
      <x:c r="Q16" s="195"/>
    </x:row>
    <x:row r="17">
      <x:c r="A17" s="195"/>
      <x:c r="B17" s="195"/>
      <x:c r="C17" s="195"/>
      <x:c r="D17" s="195"/>
      <x:c r="E17" s="195"/>
      <x:c r="F17" s="195"/>
      <x:c r="G17" s="195"/>
      <x:c r="H17" s="195"/>
      <x:c r="I17" s="195"/>
      <x:c r="J17" s="195"/>
      <x:c r="K17" s="195"/>
      <x:c r="L17" s="195"/>
      <x:c r="M17" s="195"/>
      <x:c r="N17" s="195"/>
      <x:c r="O17" s="195"/>
      <x:c r="P17" s="195"/>
      <x:c r="Q17" s="195"/>
    </x:row>
    <x:row r="18">
      <x:c r="A18" s="195"/>
      <x:c r="B18" s="195"/>
      <x:c r="C18" s="195"/>
      <x:c r="D18" s="195"/>
      <x:c r="E18" s="195"/>
      <x:c r="F18" s="195"/>
      <x:c r="G18" s="195"/>
      <x:c r="H18" s="195"/>
      <x:c r="I18" s="195"/>
      <x:c r="J18" s="195"/>
      <x:c r="K18" s="195"/>
      <x:c r="L18" s="195"/>
      <x:c r="M18" s="195"/>
      <x:c r="N18" s="195"/>
      <x:c r="O18" s="195"/>
      <x:c r="P18" s="195"/>
      <x:c r="Q18" s="195"/>
    </x:row>
    <x:row r="19">
      <x:c r="A19" s="195"/>
      <x:c r="B19" s="195"/>
      <x:c r="C19" s="195"/>
      <x:c r="D19" s="195"/>
      <x:c r="E19" s="195"/>
      <x:c r="F19" s="195"/>
      <x:c r="G19" s="195"/>
      <x:c r="H19" s="195"/>
      <x:c r="I19" s="195"/>
      <x:c r="J19" s="195"/>
      <x:c r="K19" s="195"/>
      <x:c r="L19" s="195"/>
      <x:c r="M19" s="195"/>
      <x:c r="N19" s="195"/>
      <x:c r="O19" s="195"/>
      <x:c r="P19" s="195"/>
      <x:c r="Q19" s="195"/>
    </x:row>
    <x:row r="20">
      <x:c r="A20" s="195"/>
      <x:c r="B20" s="195"/>
      <x:c r="C20" s="195"/>
      <x:c r="D20" s="195"/>
      <x:c r="E20" s="195"/>
      <x:c r="F20" s="195"/>
      <x:c r="G20" s="195"/>
      <x:c r="H20" s="195"/>
      <x:c r="I20" s="195"/>
      <x:c r="J20" s="195"/>
      <x:c r="K20" s="195"/>
      <x:c r="L20" s="195"/>
      <x:c r="M20" s="195"/>
      <x:c r="N20" s="195"/>
      <x:c r="O20" s="195"/>
      <x:c r="P20" s="195"/>
      <x:c r="Q20" s="195"/>
    </x:row>
    <x:row r="21">
      <x:c r="A21" s="195"/>
      <x:c r="B21" s="195"/>
      <x:c r="C21" s="195"/>
      <x:c r="D21" s="195"/>
      <x:c r="E21" s="195"/>
      <x:c r="F21" s="195"/>
      <x:c r="G21" s="195"/>
      <x:c r="H21" s="195"/>
      <x:c r="I21" s="195"/>
      <x:c r="J21" s="195"/>
      <x:c r="K21" s="195"/>
      <x:c r="L21" s="195"/>
      <x:c r="M21" s="195"/>
      <x:c r="N21" s="195"/>
      <x:c r="O21" s="195"/>
      <x:c r="P21" s="195"/>
      <x:c r="Q21" s="195"/>
    </x:row>
    <x:row r="22">
      <x:c r="A22" s="195"/>
      <x:c r="B22" s="195"/>
      <x:c r="C22" s="195"/>
      <x:c r="D22" s="195"/>
      <x:c r="E22" s="195"/>
      <x:c r="F22" s="195"/>
      <x:c r="G22" s="195"/>
      <x:c r="H22" s="195"/>
      <x:c r="I22" s="195"/>
      <x:c r="J22" s="195"/>
      <x:c r="K22" s="195"/>
      <x:c r="L22" s="195"/>
      <x:c r="M22" s="195"/>
      <x:c r="N22" s="195"/>
      <x:c r="O22" s="195"/>
      <x:c r="P22" s="195"/>
      <x:c r="Q22" s="195"/>
    </x:row>
    <x:row r="23">
      <x:c r="A23" s="195"/>
      <x:c r="B23" s="195"/>
      <x:c r="C23" s="195"/>
      <x:c r="D23" s="195"/>
      <x:c r="E23" s="195"/>
      <x:c r="F23" s="195"/>
      <x:c r="G23" s="195"/>
      <x:c r="H23" s="195"/>
      <x:c r="I23" s="195"/>
      <x:c r="J23" s="195"/>
      <x:c r="K23" s="195"/>
      <x:c r="L23" s="195"/>
      <x:c r="M23" s="195"/>
      <x:c r="N23" s="195"/>
      <x:c r="O23" s="195"/>
      <x:c r="P23" s="195"/>
      <x:c r="Q23" s="195"/>
    </x:row>
    <x:row r="24">
      <x:c r="A24" s="195"/>
      <x:c r="B24" s="195"/>
      <x:c r="C24" s="195"/>
      <x:c r="D24" s="195"/>
      <x:c r="E24" s="195"/>
      <x:c r="F24" s="195"/>
      <x:c r="G24" s="195"/>
      <x:c r="H24" s="195"/>
      <x:c r="I24" s="195"/>
      <x:c r="J24" s="195"/>
      <x:c r="K24" s="195"/>
      <x:c r="L24" s="195"/>
      <x:c r="M24" s="195"/>
      <x:c r="N24" s="195"/>
      <x:c r="O24" s="195"/>
      <x:c r="P24" s="195"/>
      <x:c r="Q24" s="195"/>
    </x:row>
    <x:row r="25">
      <x:c r="A25" s="195"/>
      <x:c r="B25" s="195"/>
      <x:c r="C25" s="195"/>
      <x:c r="D25" s="195"/>
      <x:c r="E25" s="195"/>
      <x:c r="F25" s="195"/>
      <x:c r="G25" s="195"/>
      <x:c r="H25" s="195"/>
      <x:c r="I25" s="195"/>
      <x:c r="J25" s="195"/>
      <x:c r="K25" s="195"/>
      <x:c r="L25" s="195"/>
      <x:c r="M25" s="195"/>
      <x:c r="N25" s="195"/>
      <x:c r="O25" s="195"/>
      <x:c r="P25" s="195"/>
      <x:c r="Q25" s="195"/>
    </x:row>
    <x:row r="26">
      <x:c r="A26" s="195"/>
      <x:c r="B26" s="195"/>
      <x:c r="C26" s="195"/>
      <x:c r="D26" s="195"/>
      <x:c r="E26" s="195"/>
      <x:c r="F26" s="195"/>
      <x:c r="G26" s="195"/>
      <x:c r="H26" s="195"/>
      <x:c r="I26" s="195"/>
      <x:c r="J26" s="195"/>
      <x:c r="K26" s="195"/>
      <x:c r="L26" s="195"/>
      <x:c r="M26" s="195"/>
      <x:c r="N26" s="195"/>
      <x:c r="O26" s="195"/>
      <x:c r="P26" s="195"/>
      <x:c r="Q26" s="195"/>
    </x:row>
    <x:row r="27">
      <x:c r="A27" s="195"/>
      <x:c r="B27" s="195"/>
      <x:c r="C27" s="195"/>
      <x:c r="D27" s="195"/>
      <x:c r="E27" s="195"/>
      <x:c r="F27" s="195"/>
      <x:c r="G27" s="195"/>
      <x:c r="H27" s="195"/>
      <x:c r="I27" s="195"/>
      <x:c r="J27" s="195"/>
      <x:c r="K27" s="195"/>
      <x:c r="L27" s="195"/>
      <x:c r="M27" s="195"/>
      <x:c r="N27" s="195"/>
      <x:c r="O27" s="195"/>
      <x:c r="P27" s="195"/>
      <x:c r="Q27" s="195"/>
    </x:row>
    <x:row r="28">
      <x:c r="A28" s="195"/>
      <x:c r="B28" s="195"/>
      <x:c r="C28" s="195"/>
      <x:c r="D28" s="195"/>
      <x:c r="E28" s="195"/>
      <x:c r="F28" s="195"/>
      <x:c r="G28" s="195"/>
      <x:c r="H28" s="195"/>
      <x:c r="I28" s="195"/>
      <x:c r="J28" s="195"/>
      <x:c r="K28" s="195"/>
      <x:c r="L28" s="195"/>
      <x:c r="M28" s="195"/>
      <x:c r="N28" s="195"/>
      <x:c r="O28" s="195"/>
      <x:c r="P28" s="195"/>
      <x:c r="Q28" s="195"/>
    </x:row>
    <x:row r="29">
      <x:c r="A29" s="195"/>
      <x:c r="B29" s="195"/>
      <x:c r="C29" s="195"/>
      <x:c r="D29" s="195"/>
      <x:c r="E29" s="195"/>
      <x:c r="F29" s="195"/>
      <x:c r="G29" s="195"/>
      <x:c r="H29" s="195"/>
      <x:c r="I29" s="195"/>
      <x:c r="J29" s="195"/>
      <x:c r="K29" s="195"/>
      <x:c r="L29" s="195"/>
      <x:c r="M29" s="195"/>
      <x:c r="N29" s="195"/>
      <x:c r="O29" s="195"/>
      <x:c r="P29" s="195"/>
      <x:c r="Q29" s="195"/>
    </x:row>
    <x:row r="30">
      <x:c r="A30" s="195"/>
      <x:c r="B30" s="195"/>
      <x:c r="C30" s="195"/>
      <x:c r="D30" s="195"/>
      <x:c r="E30" s="195"/>
      <x:c r="F30" s="195"/>
      <x:c r="G30" s="195"/>
      <x:c r="H30" s="195"/>
      <x:c r="I30" s="195"/>
      <x:c r="J30" s="195"/>
      <x:c r="K30" s="195"/>
      <x:c r="L30" s="195"/>
      <x:c r="M30" s="195"/>
      <x:c r="N30" s="195"/>
      <x:c r="O30" s="195"/>
      <x:c r="P30" s="195"/>
      <x:c r="Q30" s="195"/>
    </x:row>
    <x:row r="31">
      <x:c r="A31" s="195"/>
      <x:c r="B31" s="195"/>
      <x:c r="C31" s="195"/>
      <x:c r="D31" s="195"/>
      <x:c r="E31" s="195"/>
      <x:c r="F31" s="195"/>
      <x:c r="G31" s="195"/>
      <x:c r="H31" s="195"/>
      <x:c r="I31" s="195"/>
      <x:c r="J31" s="195"/>
      <x:c r="K31" s="195"/>
      <x:c r="L31" s="195"/>
      <x:c r="M31" s="195"/>
      <x:c r="N31" s="195"/>
      <x:c r="O31" s="195"/>
      <x:c r="P31" s="195"/>
      <x:c r="Q31" s="195"/>
    </x:row>
  </x:sheetData>
  <x:mergeCells>
    <x:mergeCell ref="A1:H1"/>
    <x:mergeCell ref="A2:H2"/>
    <x:mergeCell ref="A11:H11"/>
  </x:mergeCells>
  <x:pageMargins left="0.7" right="0.7" top="0.75" bottom="0.75" header="0.3" footer="0.3"/>
  <x:drawing xmlns:r="http://schemas.openxmlformats.org/officeDocument/2006/relationships" r:id="Rde9132d3938d4e92"/>
</x:worksheet>
</file>

<file path=xl/worksheets/sheet10.xml><?xml version="1.0" encoding="utf-8"?>
<x:worksheet xmlns:x="http://schemas.openxmlformats.org/spreadsheetml/2006/main">
  <x:sheetFormatPr defaultRowHeight="15"/>
  <x:cols>
    <x:col min="1" max="1" width="10" hidden="0" customWidth="1"/>
    <x:col min="2" max="2" width="46" hidden="0" customWidth="1"/>
    <x:col min="3" max="3" width="30" hidden="0" customWidth="1"/>
    <x:col min="4" max="4" width="14" hidden="0" customWidth="1"/>
    <x:col min="5" max="5" width="30" hidden="0" customWidth="1"/>
    <x:col min="6" max="6" width="24" hidden="0" customWidth="1"/>
    <x:col min="7" max="7" width="48" hidden="0" customWidth="1"/>
    <x:col min="8" max="8" width="14" hidden="0" customWidth="1"/>
    <x:col min="9" max="9" width="25" hidden="0" customWidth="1"/>
    <x:col min="10" max="10" width="48" hidden="0" customWidth="1"/>
    <x:col min="11" max="11" width="26" hidden="0" customWidth="1"/>
  </x:cols>
  <x:sheetData>
    <x:row r="1" ht="22" customHeight="1">
      <x:c r="A1" s="258" t="str">
        <x:v>Claim-by-Claim Evidence Register</x:v>
      </x:c>
      <x:c r="B1" s="258"/>
      <x:c r="C1" s="258"/>
      <x:c r="D1" s="258"/>
      <x:c r="E1" s="258"/>
      <x:c r="F1" s="258"/>
      <x:c r="G1" s="309"/>
      <x:c r="H1" s="258"/>
      <x:c r="I1" s="258"/>
      <x:c r="J1" s="258"/>
      <x:c r="K1" s="258"/>
    </x:row>
    <x:row r="2" ht="32" customHeight="1">
      <x:c r="A2" s="261"/>
      <x:c r="B2" s="261"/>
      <x:c r="C2" s="261"/>
      <x:c r="D2" s="261"/>
      <x:c r="E2" s="261"/>
      <x:c r="F2" s="261"/>
      <x:c r="G2" s="310"/>
      <x:c r="H2" s="261"/>
      <x:c r="I2" s="261"/>
      <x:c r="J2" s="261"/>
      <x:c r="K2" s="261"/>
    </x:row>
    <x:row r="3" ht="24" customHeight="1">
      <x:c r="A3" s="321" t="str">
        <x:v>Claim ID</x:v>
      </x:c>
      <x:c r="B3" s="321" t="str">
        <x:v>Blog claim / proposition</x:v>
      </x:c>
      <x:c r="C3" s="321" t="str">
        <x:v>Metric / evidence</x:v>
      </x:c>
      <x:c r="D3" s="321" t="str">
        <x:v>Value</x:v>
      </x:c>
      <x:c r="E3" s="321" t="str">
        <x:v>Calculation / internal evidence</x:v>
      </x:c>
      <x:c r="F3" s="321" t="str">
        <x:v>Primary evidence sheet</x:v>
      </x:c>
      <x:c r="G3" s="321" t="str">
        <x:v>External source</x:v>
      </x:c>
      <x:c r="H3" s="321" t="str">
        <x:v>Source date</x:v>
      </x:c>
      <x:c r="I3" s="321" t="str">
        <x:v>Source quality</x:v>
      </x:c>
      <x:c r="J3" s="321" t="str">
        <x:v>Citation-ready note</x:v>
      </x:c>
      <x:c r="K3" s="321" t="str">
        <x:v>Status</x:v>
      </x:c>
    </x:row>
    <x:row r="4">
      <x:c r="A4" s="299" t="str">
        <x:v>C01</x:v>
      </x:c>
      <x:c r="B4" s="299" t="str">
        <x:v>The Gartner analysis covered 206 distinct technology labels between 2016 and 2025.</x:v>
      </x:c>
      <x:c r="C4" s="299" t="str">
        <x:v>Distinct technology labels</x:v>
      </x:c>
      <x:c r="D4" s="304" t="n">
        <x:v>206</x:v>
      </x:c>
      <x:c r="E4" s="299" t="n">
        <x:f>'Adoption Summary'!A5</x:f>
        <x:v>206</x:v>
      </x:c>
      <x:c r="F4" s="299" t="str">
        <x:v>Adoption Summary</x:v>
      </x:c>
      <x:c r="G4" s="299" t="str">
        <x:v>https://www.gartner.com/en/documents/8163629</x:v>
      </x:c>
      <x:c r="H4" s="299" t="str">
        <x:v>2026-07-23</x:v>
      </x:c>
      <x:c r="I4" s="299" t="str">
        <x:v>Primary + reconstructed longitudinal dataset</x:v>
      </x:c>
      <x:c r="J4" s="299" t="str">
        <x:v>206 distinct labels across the reconstructed 2016–2025 flagship Emerging Technologies Hype Cycles.</x:v>
      </x:c>
      <x:c r="K4" s="318" t="str">
        <x:v>Supported</x:v>
      </x:c>
    </x:row>
    <x:row r="5">
      <x:c r="A5" s="299" t="str">
        <x:v>C02</x:v>
      </x:c>
      <x:c r="B5" s="299" t="str">
        <x:v>Only 40 of 206, around 19%, can reasonably be described as mainstream by 2026.</x:v>
      </x:c>
      <x:c r="C5" s="299" t="str">
        <x:v>Mainstream outcomes</x:v>
      </x:c>
      <x:c r="D5" s="304" t="n">
        <x:v>40</x:v>
      </x:c>
      <x:c r="E5" s="299" t="n">
        <x:f>'Adoption Summary'!G9 / 'Adoption Summary'!A5</x:f>
        <x:v>0.1941747572815534</x:v>
      </x:c>
      <x:c r="F5" s="299" t="str">
        <x:v>Adoption Summary</x:v>
      </x:c>
      <x:c r="G5" s="299" t="str">
        <x:v>Internal adoption classification; Gartner methodology: https://www.gartner.com/en/documents/8163629</x:v>
      </x:c>
      <x:c r="H5" s="299" t="str">
        <x:v>2026-07-23</x:v>
      </x:c>
      <x:c r="I5" s="299" t="str">
        <x:v>Modelled outcome; transparent rubric</x:v>
      </x:c>
      <x:c r="J5" s="299" t="str">
        <x:v>40 / 206 = 19.4%. Treat as an analytical classification, not a Gartner-published adoption statistic.</x:v>
      </x:c>
      <x:c r="K5" s="318" t="str">
        <x:v>Supported with methodology caveat</x:v>
      </x:c>
    </x:row>
    <x:row r="6">
      <x:c r="A6" s="299" t="str">
        <x:v>C03</x:v>
      </x:c>
      <x:c r="B6" s="299" t="str">
        <x:v>Another 41 technologies became established specialist capabilities.</x:v>
      </x:c>
      <x:c r="C6" s="299" t="str">
        <x:v>Established / specialist outcomes</x:v>
      </x:c>
      <x:c r="D6" s="304" t="n">
        <x:v>41</x:v>
      </x:c>
      <x:c r="E6" s="299" t="n">
        <x:f>'Adoption Summary'!G10</x:f>
        <x:v>41</x:v>
      </x:c>
      <x:c r="F6" s="299" t="str">
        <x:v>Adoption Summary</x:v>
      </x:c>
      <x:c r="G6" s="299" t="str">
        <x:v>Internal adoption classification; rubric in Adoption Methodology</x:v>
      </x:c>
      <x:c r="H6" s="299" t="str"/>
      <x:c r="I6" s="299" t="str">
        <x:v>Modelled outcome</x:v>
      </x:c>
      <x:c r="J6" s="299" t="str">
        <x:v>41 of 206 technologies are classified as established specialist by 2026.</x:v>
      </x:c>
      <x:c r="K6" s="318" t="str">
        <x:v>Supported with methodology caveat</x:v>
      </x:c>
    </x:row>
    <x:row r="7">
      <x:c r="A7" s="299" t="str">
        <x:v>C04</x:v>
      </x:c>
      <x:c r="B7" s="299" t="str">
        <x:v>31 were absorbed into broader platforms, products or successor technologies.</x:v>
      </x:c>
      <x:c r="C7" s="299" t="str">
        <x:v>Superseded / absorbed outcomes</x:v>
      </x:c>
      <x:c r="D7" s="304" t="n">
        <x:v>31</x:v>
      </x:c>
      <x:c r="E7" s="299" t="n">
        <x:f>'Adoption Summary'!G11</x:f>
        <x:v>31</x:v>
      </x:c>
      <x:c r="F7" s="299" t="str">
        <x:v>Adoption Summary</x:v>
      </x:c>
      <x:c r="G7" s="299" t="str">
        <x:v>Internal adoption classification; rubric in Adoption Methodology</x:v>
      </x:c>
      <x:c r="H7" s="299" t="str"/>
      <x:c r="I7" s="299" t="str">
        <x:v>Modelled outcome</x:v>
      </x:c>
      <x:c r="J7" s="299" t="str">
        <x:v>31 of 206 labels are classified as superseded/absorbed by 2026.</x:v>
      </x:c>
      <x:c r="K7" s="318" t="str">
        <x:v>Supported with methodology caveat</x:v>
      </x:c>
    </x:row>
    <x:row r="8">
      <x:c r="A8" s="299" t="str">
        <x:v>C05</x:v>
      </x:c>
      <x:c r="B8" s="299" t="str">
        <x:v>In total, around 54% produced some meaningful established outcome.</x:v>
      </x:c>
      <x:c r="C8" s="299" t="str">
        <x:v>Mainstream + specialist + absorbed</x:v>
      </x:c>
      <x:c r="D8" s="305"/>
      <x:c r="E8" s="299" t="n">
        <x:f>SUM('Adoption Summary'!G9:G11)/'Adoption Summary'!A5</x:f>
        <x:v>0.5436893203883495</x:v>
      </x:c>
      <x:c r="F8" s="299" t="str">
        <x:v>Adoption Summary</x:v>
      </x:c>
      <x:c r="G8" s="299" t="str">
        <x:v>Internal calculation</x:v>
      </x:c>
      <x:c r="H8" s="299" t="str"/>
      <x:c r="I8" s="299" t="str">
        <x:v>Derived</x:v>
      </x:c>
      <x:c r="J8" s="299" t="str">
        <x:v>(40 + 41 + 31) / 206 = 54.4%.</x:v>
      </x:c>
      <x:c r="K8" s="318" t="str">
        <x:v>Supported</x:v>
      </x:c>
    </x:row>
    <x:row r="9">
      <x:c r="A9" s="299" t="str">
        <x:v>C06</x:v>
      </x:c>
      <x:c r="B9" s="299" t="str">
        <x:v>141 of 206 technologies first appeared at the Innovation Trigger.</x:v>
      </x:c>
      <x:c r="C9" s="299" t="str">
        <x:v>First appearance = Innovation Trigger</x:v>
      </x:c>
      <x:c r="D9" s="304" t="n">
        <x:v>141</x:v>
      </x:c>
      <x:c r="E9" s="299" t="n">
        <x:f>'Adoption Summary'!B5 * 'Adoption Summary'!A5</x:f>
        <x:v>141</x:v>
      </x:c>
      <x:c r="F9" s="299" t="str">
        <x:v>Adoption Summary</x:v>
      </x:c>
      <x:c r="G9" s="299" t="str">
        <x:v>Gartner longitudinal reconstruction</x:v>
      </x:c>
      <x:c r="H9" s="299" t="str"/>
      <x:c r="I9" s="299" t="str">
        <x:v>Derived from underlying annual placements</x:v>
      </x:c>
      <x:c r="J9" s="299" t="str">
        <x:v>141 / 206 = 68.4%; most labels enter the flagship cycle before broad adoption is proven.</x:v>
      </x:c>
      <x:c r="K9" s="318" t="str">
        <x:v>Supported</x:v>
      </x:c>
    </x:row>
    <x:row r="10">
      <x:c r="A10" s="299" t="str">
        <x:v>C07</x:v>
      </x:c>
      <x:c r="B10" s="299" t="str">
        <x:v>Gartner measures expectations and maturity / proven value rather than market penetration.</x:v>
      </x:c>
      <x:c r="C10" s="299" t="str">
        <x:v>Gartner Hype Cycle methodology</x:v>
      </x:c>
      <x:c r="D10" s="305"/>
      <x:c r="E10" s="299" t="str"/>
      <x:c r="F10" s="299" t="str">
        <x:v>Analyst Frameworks</x:v>
      </x:c>
      <x:c r="G10" s="299" t="str">
        <x:v>https://www.gartner.com/en/documents/8163629</x:v>
      </x:c>
      <x:c r="H10" s="299" t="str">
        <x:v>2026-07-23</x:v>
      </x:c>
      <x:c r="I10" s="299" t="str">
        <x:v>Primary</x:v>
      </x:c>
      <x:c r="J10" s="299" t="str">
        <x:v>Gartner states that the y-axis measures expectations and the x-axis relates expectations to proven value over time.</x:v>
      </x:c>
      <x:c r="K10" s="318" t="str">
        <x:v>Supported</x:v>
      </x:c>
    </x:row>
    <x:row r="11">
      <x:c r="A11" s="299" t="str">
        <x:v>C08</x:v>
      </x:c>
      <x:c r="B11" s="299" t="str">
        <x:v>Forrester categorises emerging technologies by benefit horizon.</x:v>
      </x:c>
      <x:c r="C11" s="299" t="str">
        <x:v>Short-, mid-, long-term benefit horizons</x:v>
      </x:c>
      <x:c r="D11" s="305"/>
      <x:c r="E11" s="299" t="str"/>
      <x:c r="F11" s="299" t="str">
        <x:v>Analyst Frameworks</x:v>
      </x:c>
      <x:c r="G11" s="299" t="str">
        <x:v>https://www.forrester.com/press-newsroom/forrester-top-10-emerging-technologies-2025/</x:v>
      </x:c>
      <x:c r="H11" s="299" t="str">
        <x:v>2025-05-06</x:v>
      </x:c>
      <x:c r="I11" s="299" t="str">
        <x:v>Primary</x:v>
      </x:c>
      <x:c r="J11" s="299" t="str">
        <x:v>Forrester explicitly groups its top emerging technologies by short-, mid- and long-term benefits horizons.</x:v>
      </x:c>
      <x:c r="K11" s="318" t="str">
        <x:v>Supported</x:v>
      </x:c>
    </x:row>
    <x:row r="12">
      <x:c r="A12" s="299" t="str">
        <x:v>C09</x:v>
      </x:c>
      <x:c r="B12" s="299" t="str">
        <x:v>McKinsey combines multiple quantitative signals and adoption assessment.</x:v>
      </x:c>
      <x:c r="C12" s="299" t="str">
        <x:v>6 activity measures + adoption scaling assessment</x:v>
      </x:c>
      <x:c r="D12" s="305"/>
      <x:c r="E12" s="299" t="str"/>
      <x:c r="F12" s="299" t="str">
        <x:v>Analyst Frameworks</x:v>
      </x:c>
      <x:c r="G12" s="299" t="str">
        <x:v>https://www.mckinsey.com/capabilities/tech-and-ai/our-insights/the-top-trends-in-tech/</x:v>
      </x:c>
      <x:c r="H12" s="299" t="str">
        <x:v>2025</x:v>
      </x:c>
      <x:c r="I12" s="299" t="str">
        <x:v>Primary</x:v>
      </x:c>
      <x:c r="J12" s="299" t="str">
        <x:v>McKinsey uses search, news, patents, research publications, equity investment and talent demand, alongside adoption scaling assessment.</x:v>
      </x:c>
      <x:c r="K12" s="318" t="str">
        <x:v>Supported</x:v>
      </x:c>
    </x:row>
    <x:row r="13">
      <x:c r="A13" s="299" t="str">
        <x:v>C10</x:v>
      </x:c>
      <x:c r="B13" s="299" t="str">
        <x:v>WEF evaluates technologies at the boundary between scientific progress and real-world impact.</x:v>
      </x:c>
      <x:c r="C13" s="299" t="str">
        <x:v>Potential impact / ecosystem readiness / 3–5 year impact horizon</x:v>
      </x:c>
      <x:c r="D13" s="305"/>
      <x:c r="E13" s="299" t="str"/>
      <x:c r="F13" s="299" t="str">
        <x:v>Analyst Frameworks</x:v>
      </x:c>
      <x:c r="G13" s="299" t="str">
        <x:v>https://www.weforum.org/publications/top-10-emerging-technologies-of-2025/</x:v>
      </x:c>
      <x:c r="H13" s="299" t="str">
        <x:v>2025-06-24</x:v>
      </x:c>
      <x:c r="I13" s="299" t="str">
        <x:v>Primary</x:v>
      </x:c>
      <x:c r="J13" s="299" t="str">
        <x:v>WEF selects technologies at a tipping point between scientific progress and real-world impact and expects impact within roughly 3–5 years.</x:v>
      </x:c>
      <x:c r="K13" s="318" t="str">
        <x:v>Supported</x:v>
      </x:c>
    </x:row>
    <x:row r="14">
      <x:c r="A14" s="299" t="str">
        <x:v>C11</x:v>
      </x:c>
      <x:c r="B14" s="299" t="str">
        <x:v>Nearly nine in ten respondents use AI regularly in at least one business function.</x:v>
      </x:c>
      <x:c r="C14" s="299" t="str">
        <x:v>Regular AI use</x:v>
      </x:c>
      <x:c r="D14" s="305" t="n">
        <x:v>0.89</x:v>
      </x:c>
      <x:c r="E14" s="299" t="str"/>
      <x:c r="F14" s="299" t="str">
        <x:v>AI Adoption Evidence</x:v>
      </x:c>
      <x:c r="G14" s="299" t="str">
        <x:v>https://www.mckinsey.com/capabilities/quantumblack/our-insights/the-state-of-ai</x:v>
      </x:c>
      <x:c r="H14" s="299" t="str">
        <x:v>2026</x:v>
      </x:c>
      <x:c r="I14" s="299" t="str">
        <x:v>Primary survey</x:v>
      </x:c>
      <x:c r="J14" s="299" t="str">
        <x:v>McKinsey 2026: nearly 9 in 10 respondents report regular AI use in at least one business function.</x:v>
      </x:c>
      <x:c r="K14" s="318" t="str">
        <x:v>Supported</x:v>
      </x:c>
    </x:row>
    <x:row r="15">
      <x:c r="A15" s="299" t="str">
        <x:v>C12</x:v>
      </x:c>
      <x:c r="B15" s="299" t="str">
        <x:v>44% report scaling AI across the enterprise.</x:v>
      </x:c>
      <x:c r="C15" s="299" t="str">
        <x:v>Enterprise-scale AI adoption</x:v>
      </x:c>
      <x:c r="D15" s="305" t="n">
        <x:v>0.44</x:v>
      </x:c>
      <x:c r="E15" s="299" t="str"/>
      <x:c r="F15" s="299" t="str">
        <x:v>AI Adoption Evidence</x:v>
      </x:c>
      <x:c r="G15" s="299" t="str">
        <x:v>https://www.mckinsey.com/capabilities/quantumblack/our-insights/the-state-of-ai</x:v>
      </x:c>
      <x:c r="H15" s="299" t="str">
        <x:v>2026</x:v>
      </x:c>
      <x:c r="I15" s="299" t="str">
        <x:v>Primary survey</x:v>
      </x:c>
      <x:c r="J15" s="299" t="str">
        <x:v>McKinsey 2026: 44% report that AI is scaling across their enterprise, up from 38% a year earlier.</x:v>
      </x:c>
      <x:c r="K15" s="318" t="str">
        <x:v>Supported</x:v>
      </x:c>
    </x:row>
    <x:row r="16">
      <x:c r="A16" s="299" t="str">
        <x:v>C13</x:v>
      </x:c>
      <x:c r="B16" s="299" t="str">
        <x:v>37% attribute EBIT impact to AI use.</x:v>
      </x:c>
      <x:c r="C16" s="299" t="str">
        <x:v>Positive EBIT impact</x:v>
      </x:c>
      <x:c r="D16" s="305" t="n">
        <x:v>0.37</x:v>
      </x:c>
      <x:c r="E16" s="299" t="str"/>
      <x:c r="F16" s="299" t="str">
        <x:v>AI Adoption Evidence</x:v>
      </x:c>
      <x:c r="G16" s="299" t="str">
        <x:v>https://www.mckinsey.com/capabilities/quantumblack/our-insights/the-state-of-ai</x:v>
      </x:c>
      <x:c r="H16" s="299" t="str">
        <x:v>2026</x:v>
      </x:c>
      <x:c r="I16" s="299" t="str">
        <x:v>Primary survey</x:v>
      </x:c>
      <x:c r="J16" s="299" t="str">
        <x:v>McKinsey 2026: 37% report that AI has contributed positively to organisational EBIT.</x:v>
      </x:c>
      <x:c r="K16" s="318" t="str">
        <x:v>Supported</x:v>
      </x:c>
    </x:row>
    <x:row r="17">
      <x:c r="A17" s="299" t="str">
        <x:v>C14</x:v>
      </x:c>
      <x:c r="B17" s="299" t="str">
        <x:v>Only ~6% qualify as AI high performers, showing a gap between use and repeatable value.</x:v>
      </x:c>
      <x:c r="C17" s="299" t="str">
        <x:v>AI high performers</x:v>
      </x:c>
      <x:c r="D17" s="305" t="n">
        <x:v>0.06</x:v>
      </x:c>
      <x:c r="E17" s="299" t="str"/>
      <x:c r="F17" s="299" t="str">
        <x:v>AI Adoption Evidence</x:v>
      </x:c>
      <x:c r="G17" s="299" t="str">
        <x:v>https://www.mckinsey.com/capabilities/quantumblack/our-insights/the-state-of-ai</x:v>
      </x:c>
      <x:c r="H17" s="299" t="str">
        <x:v>2026</x:v>
      </x:c>
      <x:c r="I17" s="299" t="str">
        <x:v>Primary survey</x:v>
      </x:c>
      <x:c r="J17" s="299" t="str">
        <x:v>McKinsey defines high performers as organisations attributing ≥5% EBIT impact to AI and reporting significant value; ~6% qualify.</x:v>
      </x:c>
      <x:c r="K17" s="318" t="str">
        <x:v>Supporting claim</x:v>
      </x:c>
    </x:row>
    <x:row r="18">
      <x:c r="A18" s="301" t="str">
        <x:v>C15</x:v>
      </x:c>
      <x:c r="B18" s="301" t="str">
        <x:v>Gartner, Forrester, McKinsey and IDC all identify agents / agentic AI as an important technology theme.</x:v>
      </x:c>
      <x:c r="C18" s="301" t="str">
        <x:v>Cross-analyst agentic AI signal</x:v>
      </x:c>
      <x:c r="D18" s="306" t="n">
        <x:v>4</x:v>
      </x:c>
      <x:c r="E18" s="301" t="n">
        <x:f>COUNTIF('Cross-Analyst Signals'!B5:G5,"Yes")</x:f>
        <x:v>4</x:v>
      </x:c>
      <x:c r="F18" s="301" t="str">
        <x:v>Cross-Analyst Signals</x:v>
      </x:c>
      <x:c r="G18" s="301" t="str">
        <x:v>See source URLs in Cross-Analyst Signals and Cross-Analyst Sources</x:v>
      </x:c>
      <x:c r="H18" s="301" t="str"/>
      <x:c r="I18" s="301" t="str">
        <x:v>Mixed: 3 primary + 1 secondary IDC coverage</x:v>
      </x:c>
      <x:c r="J18" s="301" t="str">
        <x:v>At least four of the six frameworks explicitly foreground agents or agentic AI in 2025–2026.</x:v>
      </x:c>
      <x:c r="K18" s="319" t="str">
        <x:v>Supported; IDC source is secondary</x:v>
      </x:c>
    </x:row>
  </x:sheetData>
  <x:mergeCells>
    <x:mergeCell ref="A1:K1"/>
  </x:mergeCells>
  <x:conditionalFormatting sqref="K4:K18">
    <x:cfRule type="expression" dxfId="16" priority="1">
      <x:formula>LEFT(K4,9)="Supported"</x:formula>
    </x:cfRule>
  </x:conditionalFormatting>
  <x:pageMargins left="0.7" right="0.7" top="0.75" bottom="0.75" header="0.3" footer="0.3"/>
  <x:tableParts count="1">
    <x:tablePart xmlns:r="http://schemas.openxmlformats.org/officeDocument/2006/relationships" r:id="Rb857cee97e51412b"/>
  </x:tableParts>
</x:worksheet>
</file>

<file path=xl/worksheets/sheet11.xml><?xml version="1.0" encoding="utf-8"?>
<x:worksheet xmlns:x="http://schemas.openxmlformats.org/spreadsheetml/2006/main">
  <x:sheetFormatPr defaultRowHeight="15"/>
  <x:cols>
    <x:col min="1" max="1" width="18" hidden="0" customWidth="1"/>
    <x:col min="2" max="2" width="30" hidden="0" customWidth="1"/>
    <x:col min="3" max="3" width="12" hidden="0" customWidth="1"/>
    <x:col min="4" max="4" width="34" hidden="0" customWidth="1"/>
    <x:col min="5" max="5" width="44" hidden="0" customWidth="1"/>
    <x:col min="6" max="6" width="30" hidden="0" customWidth="1"/>
    <x:col min="7" max="7" width="32" hidden="0" customWidth="1"/>
    <x:col min="8" max="8" width="40" hidden="0" customWidth="1"/>
    <x:col min="9" max="9" width="50" hidden="0" customWidth="1"/>
    <x:col min="10" max="10" width="34" hidden="0" customWidth="1"/>
  </x:cols>
  <x:sheetData>
    <x:row r="1" ht="22" customHeight="1">
      <x:c r="A1" s="258" t="str">
        <x:v>How the Six Research Firms Describe Emerging Technology</x:v>
      </x:c>
      <x:c r="B1" s="258"/>
      <x:c r="C1" s="258"/>
      <x:c r="D1" s="258"/>
      <x:c r="E1" s="258"/>
      <x:c r="F1" s="258"/>
      <x:c r="G1" s="258"/>
      <x:c r="H1" s="258"/>
      <x:c r="I1" s="309"/>
      <x:c r="J1" s="258"/>
    </x:row>
    <x:row r="2" ht="32" customHeight="1">
      <x:c r="A2" s="261"/>
      <x:c r="B2" s="261"/>
      <x:c r="C2" s="261"/>
      <x:c r="D2" s="261"/>
      <x:c r="E2" s="261"/>
      <x:c r="F2" s="261"/>
      <x:c r="G2" s="261"/>
      <x:c r="H2" s="261"/>
      <x:c r="I2" s="310"/>
      <x:c r="J2" s="261"/>
    </x:row>
    <x:row r="3" ht="24" customHeight="1">
      <x:c r="A3" s="321" t="str">
        <x:v>Research firm</x:v>
      </x:c>
      <x:c r="B3" s="321" t="str">
        <x:v>Framework / publication</x:v>
      </x:c>
      <x:c r="C3" s="321" t="str">
        <x:v>Reference year</x:v>
      </x:c>
      <x:c r="D3" s="321" t="str">
        <x:v>Primary purpose</x:v>
      </x:c>
      <x:c r="E3" s="321" t="str">
        <x:v>What it measures / emphasizes</x:v>
      </x:c>
      <x:c r="F3" s="321" t="str">
        <x:v>Time / maturity lens</x:v>
      </x:c>
      <x:c r="G3" s="321" t="str">
        <x:v>Adoption/value evidence?</x:v>
      </x:c>
      <x:c r="H3" s="321" t="str">
        <x:v>Key limitation for comparison</x:v>
      </x:c>
      <x:c r="I3" s="321" t="str">
        <x:v>Source URL</x:v>
      </x:c>
      <x:c r="J3" s="321" t="str">
        <x:v>Blog use</x:v>
      </x:c>
    </x:row>
    <x:row r="4">
      <x:c r="A4" s="299" t="str">
        <x:v>Gartner</x:v>
      </x:c>
      <x:c r="B4" s="299" t="str">
        <x:v>Hype Cycle for Emerging Technologies</x:v>
      </x:c>
      <x:c r="C4" s="299" t="n">
        <x:v>2026</x:v>
      </x:c>
      <x:c r="D4" s="299" t="str">
        <x:v>Map innovation expectations against maturity / proven value</x:v>
      </x:c>
      <x:c r="E4" s="299" t="str">
        <x:v>Expectations, proven value over time, five Hype Cycle phases</x:v>
      </x:c>
      <x:c r="F4" s="299" t="str">
        <x:v>Innovation Trigger → Plateau of Productivity</x:v>
      </x:c>
      <x:c r="G4" s="299" t="str">
        <x:v>Indirect; Plateau is mainstream, but Hype Cycle is not market penetration</x:v>
      </x:c>
      <x:c r="H4" s="299" t="str">
        <x:v>Technologies can fall off before Plateau; specialist cycles may continue</x:v>
      </x:c>
      <x:c r="I4" s="299" t="str">
        <x:v>https://www.gartner.com/en/documents/8163629</x:v>
      </x:c>
      <x:c r="J4" s="299" t="str">
        <x:v>Supports visibility ≠ adoption and Gartner methodology claim</x:v>
      </x:c>
    </x:row>
    <x:row r="5">
      <x:c r="A5" s="299" t="str">
        <x:v>Forrester</x:v>
      </x:c>
      <x:c r="B5" s="299" t="str">
        <x:v>Top 10 Emerging Technologies</x:v>
      </x:c>
      <x:c r="C5" s="299" t="n">
        <x:v>2025</x:v>
      </x:c>
      <x:c r="D5" s="299" t="str">
        <x:v>Prioritise technologies by likely benefit horizon</x:v>
      </x:c>
      <x:c r="E5" s="299" t="str">
        <x:v>Expected business benefit horizon and technology implications</x:v>
      </x:c>
      <x:c r="F5" s="299" t="str">
        <x:v>Short-, mid-, and long-term benefit horizons</x:v>
      </x:c>
      <x:c r="G5" s="299" t="str">
        <x:v>Some direct adoption/use statistics within individual technology write-ups</x:v>
      </x:c>
      <x:c r="H5" s="299" t="str">
        <x:v>Not designed as a year-on-year maturity curve</x:v>
      </x:c>
      <x:c r="I5" s="299" t="str">
        <x:v>https://www.forrester.com/press-newsroom/forrester-top-10-emerging-technologies-2025/</x:v>
      </x:c>
      <x:c r="J5" s="299" t="str">
        <x:v>Supports benefit-horizon distinction</x:v>
      </x:c>
    </x:row>
    <x:row r="6">
      <x:c r="A6" s="299" t="str">
        <x:v>McKinsey</x:v>
      </x:c>
      <x:c r="B6" s="299" t="str">
        <x:v>Technology Trends Outlook</x:v>
      </x:c>
      <x:c r="C6" s="299" t="n">
        <x:v>2025</x:v>
      </x:c>
      <x:c r="D6" s="299" t="str">
        <x:v>Assess frontier technology momentum and enterprise relevance</x:v>
      </x:c>
      <x:c r="E6" s="299" t="str">
        <x:v>Search queries, news, patents, research publications, equity investment, talent demand; plus adoption scaling</x:v>
      </x:c>
      <x:c r="F6" s="299" t="str">
        <x:v>Adoption scale from experimentation to fully scaled</x:v>
      </x:c>
      <x:c r="G6" s="299" t="str">
        <x:v>Yes; includes enterprise adoption/scaling assessment</x:v>
      </x:c>
      <x:c r="H6" s="299" t="str">
        <x:v>Trend definitions change as technologies converge</x:v>
      </x:c>
      <x:c r="I6" s="299" t="str">
        <x:v>https://www.mckinsey.com/capabilities/tech-and-ai/our-insights/the-top-trends-in-tech/</x:v>
      </x:c>
      <x:c r="J6" s="299" t="str">
        <x:v>Supports momentum ≠ adoption and label evolution</x:v>
      </x:c>
    </x:row>
    <x:row r="7">
      <x:c r="A7" s="299" t="str">
        <x:v>IDC</x:v>
      </x:c>
      <x:c r="B7" s="299" t="str">
        <x:v>FutureScape</x:v>
      </x:c>
      <x:c r="C7" s="299" t="n">
        <x:v>2026</x:v>
      </x:c>
      <x:c r="D7" s="299" t="str">
        <x:v>Publish time-bound enterprise technology predictions</x:v>
      </x:c>
      <x:c r="E7" s="299" t="str">
        <x:v>Forecasts and predictions about enterprise technology adoption and operating models</x:v>
      </x:c>
      <x:c r="F7" s="299" t="str">
        <x:v>Prediction deadlines, often 1–5 years</x:v>
      </x:c>
      <x:c r="G7" s="299" t="str">
        <x:v>Forecast-based rather than a single maturity metric</x:v>
      </x:c>
      <x:c r="H7" s="299" t="str">
        <x:v>Public access is fragmented; this workbook uses secondary public coverage for the 2026 agentic-AI example</x:v>
      </x:c>
      <x:c r="I7" s="299" t="str">
        <x:v>https://www.hpcwire.com/off-the-wire/idc-futurescape-2026-predictions-reveal-the-rise-of-agentic-ai-and-a-turning-point-in-enterprise-transformation/</x:v>
      </x:c>
      <x:c r="J7" s="299" t="str">
        <x:v>Supports time-bound prediction framing and agentic-AI convergence</x:v>
      </x:c>
    </x:row>
    <x:row r="8">
      <x:c r="A8" s="299" t="str">
        <x:v>Deloitte</x:v>
      </x:c>
      <x:c r="B8" s="299" t="str">
        <x:v>Tech Trends</x:v>
      </x:c>
      <x:c r="C8" s="299" t="n">
        <x:v>2025</x:v>
      </x:c>
      <x:c r="D8" s="299" t="str">
        <x:v>Frame technology forces reshaping enterprise architecture and operations</x:v>
      </x:c>
      <x:c r="E8" s="299" t="str">
        <x:v>Enterprise technology narratives across interaction, information, compute, cyber/trust, core modernisation</x:v>
      </x:c>
      <x:c r="F8" s="299" t="str">
        <x:v>Annual trend framing rather than maturity score</x:v>
      </x:c>
      <x:c r="G8" s="299" t="str">
        <x:v>Case-led / enterprise application evidence, not standard adoption rates</x:v>
      </x:c>
      <x:c r="H8" s="299" t="str">
        <x:v>Themes are intentionally broad and evolve across editions</x:v>
      </x:c>
      <x:c r="I8" s="299" t="str">
        <x:v>https://www.deloitte.com/global/en/insights/topics/technology-management/tech-trends_new.html</x:v>
      </x:c>
      <x:c r="J8" s="299" t="str">
        <x:v>Supports enterprise-trend framing and AI embeddedness</x:v>
      </x:c>
    </x:row>
    <x:row r="9">
      <x:c r="A9" s="301" t="str">
        <x:v>World Economic Forum</x:v>
      </x:c>
      <x:c r="B9" s="301" t="str">
        <x:v>Top 10 Emerging Technologies</x:v>
      </x:c>
      <x:c r="C9" s="301" t="n">
        <x:v>2025</x:v>
      </x:c>
      <x:c r="D9" s="301" t="str">
        <x:v>Identify breakthrough technologies with societal and industry impact potential</x:v>
      </x:c>
      <x:c r="E9" s="301" t="str">
        <x:v>Scientific progress, strategic impact, ecosystem readiness and practical potential</x:v>
      </x:c>
      <x:c r="F9" s="301" t="str">
        <x:v>Technologies expected to have meaningful impact in ~3–5 years</x:v>
      </x:c>
      <x:c r="G9" s="301" t="str">
        <x:v>Ecosystem-readiness lens rather than enterprise penetration</x:v>
      </x:c>
      <x:c r="H9" s="301" t="str">
        <x:v>Broader societal scope than enterprise analyst frameworks</x:v>
      </x:c>
      <x:c r="I9" s="301" t="str">
        <x:v>https://www.weforum.org/publications/top-10-emerging-technologies-of-2025/</x:v>
      </x:c>
      <x:c r="J9" s="301" t="str">
        <x:v>Supports scientific-progress → impact distinction</x:v>
      </x:c>
    </x:row>
  </x:sheetData>
  <x:mergeCells>
    <x:mergeCell ref="A1:J1"/>
  </x:mergeCells>
  <x:pageMargins left="0.7" right="0.7" top="0.75" bottom="0.75" header="0.3" footer="0.3"/>
  <x:tableParts count="1">
    <x:tablePart xmlns:r="http://schemas.openxmlformats.org/officeDocument/2006/relationships" r:id="R946e84d0585b4257"/>
  </x:tableParts>
</x:worksheet>
</file>

<file path=xl/worksheets/sheet12.xml><?xml version="1.0" encoding="utf-8"?>
<x:worksheet xmlns:x="http://schemas.openxmlformats.org/spreadsheetml/2006/main">
  <x:sheetFormatPr defaultRowHeight="15"/>
  <x:cols>
    <x:col min="1" max="1" width="28"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8" hidden="0" customWidth="1"/>
    <x:col min="9" max="9" width="42" hidden="0" customWidth="1"/>
    <x:col min="10" max="10" width="44" hidden="0" customWidth="1"/>
    <x:col min="11" max="11" width="60" hidden="0" customWidth="1"/>
  </x:cols>
  <x:sheetData>
    <x:row r="1" ht="22" customHeight="1">
      <x:c r="A1" s="258" t="str">
        <x:v>Cross-Analyst Technology Signals</x:v>
      </x:c>
      <x:c r="B1" s="258"/>
      <x:c r="C1" s="258"/>
      <x:c r="D1" s="258"/>
      <x:c r="E1" s="258"/>
      <x:c r="F1" s="258"/>
      <x:c r="G1" s="258"/>
      <x:c r="H1" s="258"/>
      <x:c r="I1" s="258"/>
      <x:c r="J1" s="258"/>
      <x:c r="K1" s="258"/>
    </x:row>
    <x:row r="2" ht="32" customHeight="1">
      <x:c r="A2" s="261"/>
      <x:c r="B2" s="261"/>
      <x:c r="C2" s="261"/>
      <x:c r="D2" s="261"/>
      <x:c r="E2" s="261"/>
      <x:c r="F2" s="261"/>
      <x:c r="G2" s="261"/>
      <x:c r="H2" s="261"/>
      <x:c r="I2" s="261"/>
      <x:c r="J2" s="261"/>
      <x:c r="K2" s="261"/>
    </x:row>
    <x:row r="3" ht="24" customHeight="1">
      <x:c r="A3" s="321" t="str">
        <x:v>Theme</x:v>
      </x:c>
      <x:c r="B3" s="321" t="str">
        <x:v>Gartner</x:v>
      </x:c>
      <x:c r="C3" s="321" t="str">
        <x:v>Forrester</x:v>
      </x:c>
      <x:c r="D3" s="321" t="str">
        <x:v>McKinsey</x:v>
      </x:c>
      <x:c r="E3" s="321" t="str">
        <x:v>IDC</x:v>
      </x:c>
      <x:c r="F3" s="321" t="str">
        <x:v>Deloitte</x:v>
      </x:c>
      <x:c r="G3" s="321" t="str">
        <x:v>WEF</x:v>
      </x:c>
      <x:c r="H3" s="321" t="str">
        <x:v>Analysts with explicit signal</x:v>
      </x:c>
      <x:c r="I3" s="321" t="str">
        <x:v>What convergence means</x:v>
      </x:c>
      <x:c r="J3" s="321" t="str">
        <x:v>What it does NOT prove</x:v>
      </x:c>
      <x:c r="K3" s="321" t="str">
        <x:v>Evidence URLs</x:v>
      </x:c>
    </x:row>
    <x:row r="4">
      <x:c r="A4" s="299" t="str">
        <x:v>AI / AI-related technologies</x:v>
      </x:c>
      <x:c r="B4" s="299" t="str">
        <x:v>Yes</x:v>
      </x:c>
      <x:c r="C4" s="299" t="str">
        <x:v>Yes</x:v>
      </x:c>
      <x:c r="D4" s="299" t="str">
        <x:v>Yes</x:v>
      </x:c>
      <x:c r="E4" s="299" t="str">
        <x:v>Yes</x:v>
      </x:c>
      <x:c r="F4" s="299" t="str">
        <x:v>Yes</x:v>
      </x:c>
      <x:c r="G4" s="299" t="str">
        <x:v>Yes</x:v>
      </x:c>
      <x:c r="H4" s="299" t="n">
        <x:f>COUNTIF(B4:G4,"Yes")</x:f>
        <x:v>6</x:v>
      </x:c>
      <x:c r="I4" s="299" t="str">
        <x:v>AI is a pervasive research theme across all six organisations.</x:v>
      </x:c>
      <x:c r="J4" s="299" t="str">
        <x:v>Universal visibility does not establish common adoption depth, maturity or ROI.</x:v>
      </x:c>
      <x:c r="K4" s="299" t="str">
        <x:v>Gartner: https://www.gartner.com/en/documents/8163629 | Forrester: https://www.forrester.com/press-newsroom/forrester-top-10-emerging-technologies-2025/ | McKinsey: https://www.mckinsey.com/capabilities/tech-and-ai/our-insights/the-top-trends-in-tech/ | IDC: https://www.hpcwire.com/off-the-wire/idc-futurescape-2026-predictions-reveal-the-rise-of-agentic-ai-and-a-turning-point-in-enterprise-transformation/ | Deloitte: https://www.deloitte.com/global/en/insights/topics/technology-management/tech-trends_new.html | WEF: https://www.weforum.org/publications/top-10-emerging-technologies-of-2025/</x:v>
      </x:c>
    </x:row>
    <x:row r="5">
      <x:c r="A5" s="299" t="str">
        <x:v>Agentic AI / AI agents</x:v>
      </x:c>
      <x:c r="B5" s="299" t="str">
        <x:v>Yes</x:v>
      </x:c>
      <x:c r="C5" s="299" t="str">
        <x:v>Yes</x:v>
      </x:c>
      <x:c r="D5" s="299" t="str">
        <x:v>Yes</x:v>
      </x:c>
      <x:c r="E5" s="299" t="str">
        <x:v>Yes</x:v>
      </x:c>
      <x:c r="F5" s="299" t="str">
        <x:v>No</x:v>
      </x:c>
      <x:c r="G5" s="299" t="str">
        <x:v>No</x:v>
      </x:c>
      <x:c r="H5" s="299" t="n">
        <x:f>COUNTIF(B5:G5,"Yes")</x:f>
        <x:v>4</x:v>
      </x:c>
      <x:c r="I5" s="299" t="str">
        <x:v>Four separate analyst frameworks foreground agents / agentic AI in 2025–2026.</x:v>
      </x:c>
      <x:c r="J5" s="299" t="str">
        <x:v>It does not prove that every organisation requires an agentic-AI strategy or that enterprise economics are mature.</x:v>
      </x:c>
      <x:c r="K5" s="299" t="str">
        <x:v>Gartner: https://www.gartner.com/en/articles/hype-cycle-for-agentic-ai | Forrester: https://www.forrester.com/press-newsroom/forrester-top-10-emerging-technologies-2025/ | McKinsey: https://www.mckinsey.com/capabilities/tech-and-ai/our-insights/the-top-trends-in-tech/ | IDC: https://www.hpcwire.com/off-the-wire/idc-futurescape-2026-predictions-reveal-the-rise-of-agentic-ai-and-a-turning-point-in-enterprise-transformation/</x:v>
      </x:c>
    </x:row>
    <x:row r="6">
      <x:c r="A6" s="299" t="str">
        <x:v>Spatial / immersive computing</x:v>
      </x:c>
      <x:c r="B6" s="299" t="str">
        <x:v>Yes</x:v>
      </x:c>
      <x:c r="C6" s="299" t="str">
        <x:v>Yes</x:v>
      </x:c>
      <x:c r="D6" s="299" t="str">
        <x:v>Yes</x:v>
      </x:c>
      <x:c r="E6" s="299" t="str">
        <x:v>No</x:v>
      </x:c>
      <x:c r="F6" s="299" t="str">
        <x:v>Yes</x:v>
      </x:c>
      <x:c r="G6" s="299" t="str">
        <x:v>No</x:v>
      </x:c>
      <x:c r="H6" s="299" t="n">
        <x:f>COUNTIF(B6:G6,"Yes")</x:f>
        <x:v>4</x:v>
      </x:c>
      <x:c r="I6" s="299" t="str">
        <x:v>Immersive/spatial technologies recur across multiple analyst vocabularies.</x:v>
      </x:c>
      <x:c r="J6" s="299" t="str">
        <x:v>Shared attention does not imply a single stable market category or mass enterprise penetration.</x:v>
      </x:c>
      <x:c r="K6" s="299" t="str">
        <x:v>Deloitte: https://www.deloitte.com/global/en/insights/topics/technology-management/tech-trends_new.html; Gartner longitudinal matrix; McKinsey Technology Trends Outlook</x:v>
      </x:c>
    </x:row>
    <x:row r="7">
      <x:c r="A7" s="301" t="str">
        <x:v>Quantum technologies</x:v>
      </x:c>
      <x:c r="B7" s="301" t="str">
        <x:v>Yes</x:v>
      </x:c>
      <x:c r="C7" s="301" t="str">
        <x:v>Yes</x:v>
      </x:c>
      <x:c r="D7" s="301" t="str">
        <x:v>Yes</x:v>
      </x:c>
      <x:c r="E7" s="301" t="str">
        <x:v>Yes</x:v>
      </x:c>
      <x:c r="F7" s="301" t="str">
        <x:v>Yes</x:v>
      </x:c>
      <x:c r="G7" s="301" t="str">
        <x:v>Yes</x:v>
      </x:c>
      <x:c r="H7" s="301" t="n">
        <x:f>COUNTIF(B7:G7,"Yes")</x:f>
        <x:v>6</x:v>
      </x:c>
      <x:c r="I7" s="301" t="str">
        <x:v>Quantum remains a recurring long-horizon strategic technology across research firms.</x:v>
      </x:c>
      <x:c r="J7" s="301" t="str">
        <x:v>Persistent visibility should not be mistaken for broad present-day enterprise adoption.</x:v>
      </x:c>
      <x:c r="K7" s="301" t="str">
        <x:v>Gartner 2026 specialist cycles; Forrester emerging tech; McKinsey Technology Trends Outlook; Deloitte Tech Trends; WEF emerging tech</x:v>
      </x:c>
    </x:row>
  </x:sheetData>
  <x:mergeCells>
    <x:mergeCell ref="A1:K1"/>
  </x:mergeCells>
  <x:conditionalFormatting sqref="H4:H7">
    <x:cfRule type="dataBar" priority="1">
      <x:dataBar>
        <x:cfvo type="min"/>
        <x:cfvo type="max"/>
        <x:color rgb="FFA02B93"/>
      </x:dataBar>
      <x:extLst>
        <x:ext xmlns:x14="http://schemas.microsoft.com/office/spreadsheetml/2009/9/main" uri="{B025F937-C7B1-47D3-B67F-A62EFF666E3E}">
          <x14:id>{01400FE3-FB5A-49C8-BEA2-3BB3119D391D}</x14:id>
        </x:ext>
      </x:extLst>
    </x:cfRule>
  </x:conditionalFormatting>
  <x:pageMargins left="0.7" right="0.7" top="0.75" bottom="0.75" header="0.3" footer="0.3"/>
  <x:tableParts count="1">
    <x:tablePart xmlns:r="http://schemas.openxmlformats.org/officeDocument/2006/relationships" r:id="R3fb8410775d640da"/>
  </x:tableParts>
  <x:extLst>
    <x:ext xmlns:x14="http://schemas.microsoft.com/office/spreadsheetml/2009/9/main" xmlns:xm="http://schemas.microsoft.com/office/excel/2006/main" uri="{78C0D931-6437-407d-A8EE-F0AAD7539E65}">
      <x14:conditionalFormattings>
        <x14:conditionalFormatting>
          <x14:cfRule type="dataBar" priority="1" id="{01400FE3-FB5A-49C8-BEA2-3BB3119D391D}">
            <x14:dataBar gradient="1">
              <x14:cfvo type="min"/>
              <x14:cfvo type="max"/>
              <x14:fillColor rgb="FFA02B93"/>
            </x14:dataBar>
          </x14:cfRule>
          <xm:sqref>H4:H7</xm:sqref>
        </x14:conditionalFormatting>
      </x14:conditionalFormattings>
    </x:ext>
  </x:extLst>
</x:worksheet>
</file>

<file path=xl/worksheets/sheet13.xml><?xml version="1.0" encoding="utf-8"?>
<x:worksheet xmlns:x="http://schemas.openxmlformats.org/spreadsheetml/2006/main">
  <x:sheetFormatPr defaultRowHeight="15"/>
  <x:cols>
    <x:col min="1" max="1" width="36" hidden="0" customWidth="1"/>
    <x:col min="2" max="2" width="14" hidden="0" customWidth="1"/>
    <x:col min="3" max="3" width="14" hidden="0" customWidth="1"/>
    <x:col min="4" max="4" width="12" hidden="0" customWidth="1"/>
    <x:col min="5" max="5" width="36" hidden="0" customWidth="1"/>
    <x:col min="6" max="6" width="44" hidden="0" customWidth="1"/>
    <x:col min="7" max="7" width="52" hidden="0" customWidth="1"/>
    <x:col min="8" max="8" width="14" hidden="0" customWidth="1"/>
    <x:col min="9" max="9" width="40" hidden="0" customWidth="1"/>
  </x:cols>
  <x:sheetData>
    <x:row r="1" ht="22" customHeight="1">
      <x:c r="A1" s="258" t="str">
        <x:v>AI Adoption, Scale and Value — 2026 Evidence</x:v>
      </x:c>
      <x:c r="B1" s="258"/>
      <x:c r="C1" s="258"/>
      <x:c r="D1" s="258"/>
      <x:c r="E1" s="258"/>
      <x:c r="F1" s="258"/>
      <x:c r="G1" s="309"/>
      <x:c r="H1" s="258"/>
      <x:c r="I1" s="258"/>
    </x:row>
    <x:row r="2" ht="32" customHeight="1">
      <x:c r="A2" s="261"/>
      <x:c r="B2" s="261"/>
      <x:c r="C2" s="261"/>
      <x:c r="D2" s="261"/>
      <x:c r="E2" s="261"/>
      <x:c r="F2" s="261"/>
      <x:c r="G2" s="310"/>
      <x:c r="H2" s="261"/>
      <x:c r="I2" s="261"/>
    </x:row>
    <x:row r="3" ht="24" customHeight="1">
      <x:c r="A3" s="321" t="str">
        <x:v>Metric</x:v>
      </x:c>
      <x:c r="B3" s="321" t="str">
        <x:v>2025 / prior</x:v>
      </x:c>
      <x:c r="C3" s="321" t="str">
        <x:v>2026</x:v>
      </x:c>
      <x:c r="D3" s="321" t="str">
        <x:v>Change</x:v>
      </x:c>
      <x:c r="E3" s="321" t="str">
        <x:v>Population / denominator</x:v>
      </x:c>
      <x:c r="F3" s="321" t="str">
        <x:v>Interpretation</x:v>
      </x:c>
      <x:c r="G3" s="321" t="str">
        <x:v>Source URL</x:v>
      </x:c>
      <x:c r="H3" s="321" t="str">
        <x:v>Source date</x:v>
      </x:c>
      <x:c r="I3" s="321" t="str">
        <x:v>Blog relevance</x:v>
      </x:c>
    </x:row>
    <x:row r="4">
      <x:c r="A4" s="299" t="str">
        <x:v>Regular AI use in ≥1 business function</x:v>
      </x:c>
      <x:c r="B4" s="307"/>
      <x:c r="C4" s="307" t="n">
        <x:v>0.89</x:v>
      </x:c>
      <x:c r="D4" s="307"/>
      <x:c r="E4" s="299" t="str">
        <x:v>McKinsey Global Survey respondents</x:v>
      </x:c>
      <x:c r="F4" s="299" t="str">
        <x:v>AI use is widespread; this is an adoption/usage measure, not enterprise maturity.</x:v>
      </x:c>
      <x:c r="G4" s="299" t="str">
        <x:v>https://www.mckinsey.com/capabilities/quantumblack/our-insights/the-state-of-ai</x:v>
      </x:c>
      <x:c r="H4" s="299" t="str">
        <x:v>2026</x:v>
      </x:c>
      <x:c r="I4" s="299" t="str">
        <x:v>Visibility and use are already high.</x:v>
      </x:c>
    </x:row>
    <x:row r="5">
      <x:c r="A5" s="299" t="str">
        <x:v>Scaling AI across the enterprise</x:v>
      </x:c>
      <x:c r="B5" s="307" t="n">
        <x:v>0.38</x:v>
      </x:c>
      <x:c r="C5" s="307" t="n">
        <x:v>0.44</x:v>
      </x:c>
      <x:c r="D5" s="307" t="n">
        <x:v>0.06</x:v>
      </x:c>
      <x:c r="E5" s="299" t="str">
        <x:v>McKinsey Global Survey respondents</x:v>
      </x:c>
      <x:c r="F5" s="299" t="str">
        <x:v>Enterprise scaling is materially lower than basic usage.</x:v>
      </x:c>
      <x:c r="G5" s="299" t="str">
        <x:v>https://www.mckinsey.com/capabilities/quantumblack/our-insights/the-state-of-ai</x:v>
      </x:c>
      <x:c r="H5" s="299" t="str">
        <x:v>2026</x:v>
      </x:c>
      <x:c r="I5" s="299" t="str">
        <x:v>Adoption ≠ enterprise scale.</x:v>
      </x:c>
    </x:row>
    <x:row r="6">
      <x:c r="A6" s="299" t="str">
        <x:v>Positive EBIT impact attributed to AI</x:v>
      </x:c>
      <x:c r="B6" s="307" t="n">
        <x:v>0.37</x:v>
      </x:c>
      <x:c r="C6" s="307" t="n">
        <x:v>0.37</x:v>
      </x:c>
      <x:c r="D6" s="307" t="n">
        <x:v>0</x:v>
      </x:c>
      <x:c r="E6" s="299" t="str">
        <x:v>McKinsey Global Survey respondents</x:v>
      </x:c>
      <x:c r="F6" s="299" t="str">
        <x:v>Financial impact is flatter and lower than use/scaling measures.</x:v>
      </x:c>
      <x:c r="G6" s="299" t="str">
        <x:v>https://www.mckinsey.com/capabilities/quantumblack/our-insights/the-state-of-ai</x:v>
      </x:c>
      <x:c r="H6" s="299" t="str">
        <x:v>2026</x:v>
      </x:c>
      <x:c r="I6" s="299" t="str">
        <x:v>Scale ≠ repeatable financial value.</x:v>
      </x:c>
    </x:row>
    <x:row r="7">
      <x:c r="A7" s="299" t="str">
        <x:v>AI high performers</x:v>
      </x:c>
      <x:c r="B7" s="307" t="n">
        <x:v>0.06</x:v>
      </x:c>
      <x:c r="C7" s="307" t="n">
        <x:v>0.06</x:v>
      </x:c>
      <x:c r="D7" s="307" t="n">
        <x:v>0</x:v>
      </x:c>
      <x:c r="E7" s="299" t="str">
        <x:v>Survey respondents; ≥5% EBIT impact + significant AI value</x:v>
      </x:c>
      <x:c r="F7" s="299" t="str">
        <x:v>Only a small minority combine material EBIT impact with significant reported value.</x:v>
      </x:c>
      <x:c r="G7" s="299" t="str">
        <x:v>https://www.mckinsey.com/capabilities/quantumblack/our-insights/the-state-of-ai</x:v>
      </x:c>
      <x:c r="H7" s="299" t="str">
        <x:v>2026</x:v>
      </x:c>
      <x:c r="I7" s="299" t="str">
        <x:v>Stronger evidence for the strategy-vs-hypothesis thesis.</x:v>
      </x:c>
    </x:row>
    <x:row r="8">
      <x:c r="A8" s="301" t="str">
        <x:v>Individual productivity improved by AI</x:v>
      </x:c>
      <x:c r="B8" s="308"/>
      <x:c r="C8" s="308" t="n">
        <x:v>0.8</x:v>
      </x:c>
      <x:c r="D8" s="308"/>
      <x:c r="E8" s="301" t="str">
        <x:v>McKinsey Global Survey respondents</x:v>
      </x:c>
      <x:c r="F8" s="301" t="str">
        <x:v>Individual benefits can be widespread before enterprise financial impact is widespread.</x:v>
      </x:c>
      <x:c r="G8" s="301" t="str">
        <x:v>https://www.mckinsey.com/capabilities/quantumblack/our-insights/the-state-of-ai</x:v>
      </x:c>
      <x:c r="H8" s="301" t="str">
        <x:v>2026</x:v>
      </x:c>
      <x:c r="I8" s="301" t="str">
        <x:v>Demonstrates different layers of value.</x:v>
      </x:c>
    </x:row>
  </x:sheetData>
  <x:mergeCells>
    <x:mergeCell ref="A1:I1"/>
  </x:mergeCells>
  <x:conditionalFormatting sqref="C4:C8">
    <x:cfRule type="dataBar" priority="1">
      <x:dataBar>
        <x:cfvo type="min"/>
        <x:cfvo type="max"/>
        <x:color rgb="FFA02B93"/>
      </x:dataBar>
      <x:extLst>
        <x:ext xmlns:x14="http://schemas.microsoft.com/office/spreadsheetml/2009/9/main" uri="{B025F937-C7B1-47D3-B67F-A62EFF666E3E}">
          <x14:id>{79B19368-B3BD-4156-7C1C-2829E92C4E3C}</x14:id>
        </x:ext>
      </x:extLst>
    </x:cfRule>
  </x:conditionalFormatting>
  <x:pageMargins left="0.7" right="0.7" top="0.75" bottom="0.75" header="0.3" footer="0.3"/>
  <x:tableParts count="1">
    <x:tablePart xmlns:r="http://schemas.openxmlformats.org/officeDocument/2006/relationships" r:id="R611d661c5ada4bee"/>
  </x:tableParts>
  <x:extLst>
    <x:ext xmlns:x14="http://schemas.microsoft.com/office/spreadsheetml/2009/9/main" xmlns:xm="http://schemas.microsoft.com/office/excel/2006/main" uri="{78C0D931-6437-407d-A8EE-F0AAD7539E65}">
      <x14:conditionalFormattings>
        <x14:conditionalFormatting>
          <x14:cfRule type="dataBar" priority="1" id="{79B19368-B3BD-4156-7C1C-2829E92C4E3C}">
            <x14:dataBar gradient="1">
              <x14:cfvo type="min"/>
              <x14:cfvo type="max"/>
              <x14:fillColor rgb="FFA02B93"/>
            </x14:dataBar>
          </x14:cfRule>
          <xm:sqref>C4:C8</xm:sqref>
        </x14:conditionalFormatting>
      </x14:conditionalFormattings>
    </x:ext>
  </x:extLst>
</x:worksheet>
</file>

<file path=xl/worksheets/sheet14.xml><?xml version="1.0" encoding="utf-8"?>
<x:worksheet xmlns:x="http://schemas.openxmlformats.org/spreadsheetml/2006/main">
  <x:sheetFormatPr defaultRowHeight="15"/>
  <x:cols>
    <x:col min="1" max="1" width="24"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28" hidden="0" customWidth="1"/>
    <x:col min="13" max="13" width="52" hidden="0" customWidth="1"/>
  </x:cols>
  <x:sheetData>
    <x:row r="1" ht="22" customHeight="1">
      <x:c r="A1" s="258" t="str">
        <x:v>Technology Examples Used in the Blog / Supporting Discussion</x:v>
      </x:c>
      <x:c r="B1" s="258"/>
      <x:c r="C1" s="258"/>
      <x:c r="D1" s="258"/>
      <x:c r="E1" s="258"/>
      <x:c r="F1" s="258"/>
      <x:c r="G1" s="258"/>
      <x:c r="H1" s="258"/>
      <x:c r="I1" s="258"/>
      <x:c r="J1" s="258"/>
      <x:c r="K1" s="258"/>
      <x:c r="L1" s="258"/>
      <x:c r="M1" s="258"/>
    </x:row>
    <x:row r="2" ht="32" customHeight="1">
      <x:c r="A2" s="261"/>
      <x:c r="B2" s="261"/>
      <x:c r="C2" s="261"/>
      <x:c r="D2" s="261"/>
      <x:c r="E2" s="261"/>
      <x:c r="F2" s="261"/>
      <x:c r="G2" s="261"/>
      <x:c r="H2" s="261"/>
      <x:c r="I2" s="261"/>
      <x:c r="J2" s="261"/>
      <x:c r="K2" s="261"/>
      <x:c r="L2" s="261"/>
      <x:c r="M2" s="261"/>
    </x:row>
    <x:row r="3" ht="24" customHeight="1">
      <x:c r="A3" s="321" t="str">
        <x:v>Technology</x:v>
      </x:c>
      <x:c r="B3" s="321" t="str">
        <x:v>2016</x:v>
      </x:c>
      <x:c r="C3" s="321" t="str">
        <x:v>2017</x:v>
      </x:c>
      <x:c r="D3" s="321" t="str">
        <x:v>2018</x:v>
      </x:c>
      <x:c r="E3" s="321" t="str">
        <x:v>2019</x:v>
      </x:c>
      <x:c r="F3" s="321" t="str">
        <x:v>2020</x:v>
      </x:c>
      <x:c r="G3" s="321" t="str">
        <x:v>2021</x:v>
      </x:c>
      <x:c r="H3" s="321" t="str">
        <x:v>2022</x:v>
      </x:c>
      <x:c r="I3" s="321" t="str">
        <x:v>2023</x:v>
      </x:c>
      <x:c r="J3" s="321" t="str">
        <x:v>2024</x:v>
      </x:c>
      <x:c r="K3" s="321" t="str">
        <x:v>2025</x:v>
      </x:c>
      <x:c r="L3" s="321" t="str">
        <x:v>2026 outcome</x:v>
      </x:c>
      <x:c r="M3" s="321" t="str">
        <x:v>Why it matters to the argument</x:v>
      </x:c>
    </x:row>
    <x:row r="4">
      <x:c r="A4" s="299" t="str">
        <x:f>'Matrix 2016-2025'!A43</x:f>
        <x:v>Blockchain</x:v>
      </x:c>
      <x:c r="B4" s="299" t="str">
        <x:f>'Matrix 2016-2025'!C43</x:f>
        <x:v>IT</x:v>
      </x:c>
      <x:c r="C4" s="299" t="str">
        <x:f>'Matrix 2016-2025'!D43</x:f>
        <x:v>PE</x:v>
      </x:c>
      <x:c r="D4" s="299" t="str">
        <x:f>'Matrix 2016-2025'!E43</x:f>
        <x:v>PE</x:v>
      </x:c>
      <x:c r="E4" s="299" t="n">
        <x:f>'Matrix 2016-2025'!F43</x:f>
        <x:v>0</x:v>
      </x:c>
      <x:c r="F4" s="299" t="n">
        <x:f>'Matrix 2016-2025'!G43</x:f>
        <x:v>0</x:v>
      </x:c>
      <x:c r="G4" s="299" t="n">
        <x:f>'Matrix 2016-2025'!H43</x:f>
        <x:v>0</x:v>
      </x:c>
      <x:c r="H4" s="299" t="n">
        <x:f>'Matrix 2016-2025'!I43</x:f>
        <x:v>0</x:v>
      </x:c>
      <x:c r="I4" s="299" t="n">
        <x:f>'Matrix 2016-2025'!J43</x:f>
        <x:v>0</x:v>
      </x:c>
      <x:c r="J4" s="299" t="n">
        <x:f>'Matrix 2016-2025'!K43</x:f>
        <x:v>0</x:v>
      </x:c>
      <x:c r="K4" s="299" t="n">
        <x:f>'Matrix 2016-2025'!L43</x:f>
        <x:v>0</x:v>
      </x:c>
      <x:c r="L4" s="299" t="str">
        <x:f>'Matrix 2016-2025'!Q43</x:f>
        <x:v>Established / specialist</x:v>
      </x:c>
      <x:c r="M4" s="299" t="str">
        <x:f>"The label remained relevant but broad transformational expectations narrowed into specialist use cases."</x:f>
        <x:v>The label remained relevant but broad transformational expectations narrowed into specialist use cases.</x:v>
      </x:c>
    </x:row>
    <x:row r="5">
      <x:c r="A5" s="299" t="str">
        <x:f>'Matrix 2016-2025'!A145</x:f>
        <x:v>Metaverse</x:v>
      </x:c>
      <x:c r="B5" s="299" t="n">
        <x:f>'Matrix 2016-2025'!C145</x:f>
        <x:v>0</x:v>
      </x:c>
      <x:c r="C5" s="299" t="n">
        <x:f>'Matrix 2016-2025'!D145</x:f>
        <x:v>0</x:v>
      </x:c>
      <x:c r="D5" s="299" t="n">
        <x:f>'Matrix 2016-2025'!E145</x:f>
        <x:v>0</x:v>
      </x:c>
      <x:c r="E5" s="299" t="n">
        <x:f>'Matrix 2016-2025'!F145</x:f>
        <x:v>0</x:v>
      </x:c>
      <x:c r="F5" s="299" t="n">
        <x:f>'Matrix 2016-2025'!G145</x:f>
        <x:v>0</x:v>
      </x:c>
      <x:c r="G5" s="299" t="n">
        <x:f>'Matrix 2016-2025'!H145</x:f>
        <x:v>0</x:v>
      </x:c>
      <x:c r="H5" s="299" t="str">
        <x:f>'Matrix 2016-2025'!I145</x:f>
        <x:v>IT</x:v>
      </x:c>
      <x:c r="I5" s="299" t="n">
        <x:f>'Matrix 2016-2025'!J145</x:f>
        <x:v>0</x:v>
      </x:c>
      <x:c r="J5" s="299" t="n">
        <x:f>'Matrix 2016-2025'!K145</x:f>
        <x:v>0</x:v>
      </x:c>
      <x:c r="K5" s="299" t="n">
        <x:f>'Matrix 2016-2025'!L145</x:f>
        <x:v>0</x:v>
      </x:c>
      <x:c r="L5" s="299" t="str">
        <x:f>'Matrix 2016-2025'!Q145</x:f>
        <x:v>Hype cooled / niche</x:v>
      </x:c>
      <x:c r="M5" s="299" t="str">
        <x:f>"A visible emerging label whose broad hype cooled and persisted in narrower use cases."</x:f>
        <x:v>A visible emerging label whose broad hype cooled and persisted in narrower use cases.</x:v>
      </x:c>
    </x:row>
    <x:row r="6">
      <x:c r="A6" s="299" t="str">
        <x:f>'Matrix 2016-2025'!A114</x:f>
        <x:v>Generative AI</x:v>
      </x:c>
      <x:c r="B6" s="299" t="n">
        <x:f>'Matrix 2016-2025'!C114</x:f>
        <x:v>0</x:v>
      </x:c>
      <x:c r="C6" s="299" t="n">
        <x:f>'Matrix 2016-2025'!D114</x:f>
        <x:v>0</x:v>
      </x:c>
      <x:c r="D6" s="299" t="n">
        <x:f>'Matrix 2016-2025'!E114</x:f>
        <x:v>0</x:v>
      </x:c>
      <x:c r="E6" s="299" t="n">
        <x:f>'Matrix 2016-2025'!F114</x:f>
        <x:v>0</x:v>
      </x:c>
      <x:c r="F6" s="299" t="str">
        <x:f>'Matrix 2016-2025'!G114</x:f>
        <x:v>IT</x:v>
      </x:c>
      <x:c r="G6" s="299" t="str">
        <x:f>'Matrix 2016-2025'!H114</x:f>
        <x:v>IT</x:v>
      </x:c>
      <x:c r="H6" s="299" t="n">
        <x:f>'Matrix 2016-2025'!I114</x:f>
        <x:v>0</x:v>
      </x:c>
      <x:c r="I6" s="299" t="str">
        <x:f>'Matrix 2016-2025'!J114</x:f>
        <x:v>PE</x:v>
      </x:c>
      <x:c r="J6" s="299" t="str">
        <x:f>'Matrix 2016-2025'!K114</x:f>
        <x:v>TD</x:v>
      </x:c>
      <x:c r="K6" s="299" t="n">
        <x:f>'Matrix 2016-2025'!L114</x:f>
        <x:v>0</x:v>
      </x:c>
      <x:c r="L6" s="299" t="str">
        <x:f>'Matrix 2016-2025'!Q114</x:f>
        <x:v>Established / mainstream</x:v>
      </x:c>
      <x:c r="M6" s="299" t="str">
        <x:f>"A fast-moving example where the label moved through the cycle while adoption continued to accelerate."</x:f>
        <x:v>A fast-moving example where the label moved through the cycle while adoption continued to accelerate.</x:v>
      </x:c>
    </x:row>
    <x:row r="7">
      <x:c r="A7" s="299" t="str">
        <x:f>'Matrix 2016-2025'!A14</x:f>
        <x:v>AI Agents</x:v>
      </x:c>
      <x:c r="B7" s="299" t="n">
        <x:f>'Matrix 2016-2025'!C14</x:f>
        <x:v>0</x:v>
      </x:c>
      <x:c r="C7" s="299" t="n">
        <x:f>'Matrix 2016-2025'!D14</x:f>
        <x:v>0</x:v>
      </x:c>
      <x:c r="D7" s="299" t="n">
        <x:f>'Matrix 2016-2025'!E14</x:f>
        <x:v>0</x:v>
      </x:c>
      <x:c r="E7" s="299" t="n">
        <x:f>'Matrix 2016-2025'!F14</x:f>
        <x:v>0</x:v>
      </x:c>
      <x:c r="F7" s="299" t="n">
        <x:f>'Matrix 2016-2025'!G14</x:f>
        <x:v>0</x:v>
      </x:c>
      <x:c r="G7" s="299" t="n">
        <x:f>'Matrix 2016-2025'!H14</x:f>
        <x:v>0</x:v>
      </x:c>
      <x:c r="H7" s="299" t="n">
        <x:f>'Matrix 2016-2025'!I14</x:f>
        <x:v>0</x:v>
      </x:c>
      <x:c r="I7" s="299" t="n">
        <x:f>'Matrix 2016-2025'!J14</x:f>
        <x:v>0</x:v>
      </x:c>
      <x:c r="J7" s="299" t="n">
        <x:f>'Matrix 2016-2025'!K14</x:f>
        <x:v>0</x:v>
      </x:c>
      <x:c r="K7" s="299" t="str">
        <x:f>'Matrix 2016-2025'!L14</x:f>
        <x:v>PE</x:v>
      </x:c>
      <x:c r="L7" s="299" t="str">
        <x:f>'Matrix 2016-2025'!Q14</x:f>
        <x:v>Still emerging / evolving</x:v>
      </x:c>
      <x:c r="M7" s="299" t="str">
        <x:f>"A current example of strong analyst visibility before broad enterprise maturity."</x:f>
        <x:v>A current example of strong analyst visibility before broad enterprise maturity.</x:v>
      </x:c>
    </x:row>
    <x:row r="8">
      <x:c r="A8" s="299" t="str">
        <x:f>'Matrix 2016-2025'!A30</x:f>
        <x:v>Augmented Reality</x:v>
      </x:c>
      <x:c r="B8" s="299" t="str">
        <x:f>'Matrix 2016-2025'!C30</x:f>
        <x:v>TD</x:v>
      </x:c>
      <x:c r="C8" s="299" t="str">
        <x:f>'Matrix 2016-2025'!D30</x:f>
        <x:v>TD</x:v>
      </x:c>
      <x:c r="D8" s="299" t="str">
        <x:f>'Matrix 2016-2025'!E30</x:f>
        <x:v>TD</x:v>
      </x:c>
      <x:c r="E8" s="299" t="n">
        <x:f>'Matrix 2016-2025'!F30</x:f>
        <x:v>0</x:v>
      </x:c>
      <x:c r="F8" s="299" t="n">
        <x:f>'Matrix 2016-2025'!G30</x:f>
        <x:v>0</x:v>
      </x:c>
      <x:c r="G8" s="299" t="n">
        <x:f>'Matrix 2016-2025'!H30</x:f>
        <x:v>0</x:v>
      </x:c>
      <x:c r="H8" s="299" t="n">
        <x:f>'Matrix 2016-2025'!I30</x:f>
        <x:v>0</x:v>
      </x:c>
      <x:c r="I8" s="299" t="n">
        <x:f>'Matrix 2016-2025'!J30</x:f>
        <x:v>0</x:v>
      </x:c>
      <x:c r="J8" s="299" t="n">
        <x:f>'Matrix 2016-2025'!K30</x:f>
        <x:v>0</x:v>
      </x:c>
      <x:c r="K8" s="299" t="n">
        <x:f>'Matrix 2016-2025'!L30</x:f>
        <x:v>0</x:v>
      </x:c>
      <x:c r="L8" s="299" t="str">
        <x:f>'Matrix 2016-2025'!Q30</x:f>
        <x:v>Established / mainstream</x:v>
      </x:c>
      <x:c r="M8" s="299" t="str">
        <x:f>"A Trough example that later became embedded across mainstream and specialist products."</x:f>
        <x:v>A Trough example that later became embedded across mainstream and specialist products.</x:v>
      </x:c>
    </x:row>
    <x:row r="9">
      <x:c r="A9" s="299" t="str">
        <x:f>'Matrix 2016-2025'!A7</x:f>
        <x:v>5G</x:v>
      </x:c>
      <x:c r="B9" s="299" t="n">
        <x:f>'Matrix 2016-2025'!C7</x:f>
        <x:v>0</x:v>
      </x:c>
      <x:c r="C9" s="299" t="str">
        <x:f>'Matrix 2016-2025'!D7</x:f>
        <x:v>IT</x:v>
      </x:c>
      <x:c r="D9" s="299" t="str">
        <x:f>'Matrix 2016-2025'!E7</x:f>
        <x:v>IT</x:v>
      </x:c>
      <x:c r="E9" s="299" t="str">
        <x:f>'Matrix 2016-2025'!F7</x:f>
        <x:v>PE</x:v>
      </x:c>
      <x:c r="F9" s="299" t="n">
        <x:f>'Matrix 2016-2025'!G7</x:f>
        <x:v>0</x:v>
      </x:c>
      <x:c r="G9" s="299" t="n">
        <x:f>'Matrix 2016-2025'!H7</x:f>
        <x:v>0</x:v>
      </x:c>
      <x:c r="H9" s="299" t="n">
        <x:f>'Matrix 2016-2025'!I7</x:f>
        <x:v>0</x:v>
      </x:c>
      <x:c r="I9" s="299" t="n">
        <x:f>'Matrix 2016-2025'!J7</x:f>
        <x:v>0</x:v>
      </x:c>
      <x:c r="J9" s="299" t="n">
        <x:f>'Matrix 2016-2025'!K7</x:f>
        <x:v>0</x:v>
      </x:c>
      <x:c r="K9" s="299" t="n">
        <x:f>'Matrix 2016-2025'!L7</x:f>
        <x:v>0</x:v>
      </x:c>
      <x:c r="L9" s="299" t="str">
        <x:f>'Matrix 2016-2025'!Q7</x:f>
        <x:v>Established / mainstream</x:v>
      </x:c>
      <x:c r="M9" s="299" t="str">
        <x:f>"An emerging technology that became infrastructure and therefore less 'emerging'."</x:f>
        <x:v>An emerging technology that became infrastructure and therefore less 'emerging'.</x:v>
      </x:c>
    </x:row>
    <x:row r="10">
      <x:c r="A10" s="301" t="str">
        <x:f>'Matrix 2016-2025'!A140</x:f>
        <x:v>Machine Learning</x:v>
      </x:c>
      <x:c r="B10" s="301" t="str">
        <x:f>'Matrix 2016-2025'!C140</x:f>
        <x:v>PE</x:v>
      </x:c>
      <x:c r="C10" s="301" t="str">
        <x:f>'Matrix 2016-2025'!D140</x:f>
        <x:v>PE</x:v>
      </x:c>
      <x:c r="D10" s="301" t="n">
        <x:f>'Matrix 2016-2025'!E140</x:f>
        <x:v>0</x:v>
      </x:c>
      <x:c r="E10" s="301" t="n">
        <x:f>'Matrix 2016-2025'!F140</x:f>
        <x:v>0</x:v>
      </x:c>
      <x:c r="F10" s="301" t="n">
        <x:f>'Matrix 2016-2025'!G140</x:f>
        <x:v>0</x:v>
      </x:c>
      <x:c r="G10" s="301" t="n">
        <x:f>'Matrix 2016-2025'!H140</x:f>
        <x:v>0</x:v>
      </x:c>
      <x:c r="H10" s="301" t="n">
        <x:f>'Matrix 2016-2025'!I140</x:f>
        <x:v>0</x:v>
      </x:c>
      <x:c r="I10" s="301" t="n">
        <x:f>'Matrix 2016-2025'!J140</x:f>
        <x:v>0</x:v>
      </x:c>
      <x:c r="J10" s="301" t="n">
        <x:f>'Matrix 2016-2025'!K140</x:f>
        <x:v>0</x:v>
      </x:c>
      <x:c r="K10" s="301" t="n">
        <x:f>'Matrix 2016-2025'!L140</x:f>
        <x:v>0</x:v>
      </x:c>
      <x:c r="L10" s="301" t="str">
        <x:f>'Matrix 2016-2025'!Q140</x:f>
        <x:v>Established / mainstream</x:v>
      </x:c>
      <x:c r="M10" s="301" t="str">
        <x:f>"A label that became increasingly embedded in software and analytics rather than remaining a standalone novelty."</x:f>
        <x:v>A label that became increasingly embedded in software and analytics rather than remaining a standalone novelty.</x:v>
      </x:c>
    </x:row>
  </x:sheetData>
  <x:mergeCells>
    <x:mergeCell ref="A1:M1"/>
  </x:mergeCells>
  <x:pageMargins left="0.7" right="0.7" top="0.75" bottom="0.75" header="0.3" footer="0.3"/>
  <x:tableParts count="1">
    <x:tablePart xmlns:r="http://schemas.openxmlformats.org/officeDocument/2006/relationships" r:id="Rea6bb627e1dd48e4"/>
  </x:tableParts>
</x:worksheet>
</file>

<file path=xl/worksheets/sheet15.xml><?xml version="1.0" encoding="utf-8"?>
<x:worksheet xmlns:x="http://schemas.openxmlformats.org/spreadsheetml/2006/main">
  <x:sheetFormatPr defaultRowHeight="15"/>
  <x:cols>
    <x:col min="1" max="1" width="10" hidden="0" customWidth="1"/>
    <x:col min="2" max="2" width="18" hidden="0" customWidth="1"/>
    <x:col min="3" max="3" width="36" hidden="0" customWidth="1"/>
    <x:col min="4" max="4" width="14" hidden="0" customWidth="1"/>
    <x:col min="5" max="5" width="22" hidden="0" customWidth="1"/>
    <x:col min="6" max="6" width="60" hidden="0" customWidth="1"/>
    <x:col min="7" max="7" width="50" hidden="0" customWidth="1"/>
    <x:col min="8" max="8" width="44" hidden="0" customWidth="1"/>
  </x:cols>
  <x:sheetData>
    <x:row r="1" ht="22" customHeight="1">
      <x:c r="A1" s="258" t="str">
        <x:v>Source Register</x:v>
      </x:c>
      <x:c r="B1" s="258"/>
      <x:c r="C1" s="258"/>
      <x:c r="D1" s="258"/>
      <x:c r="E1" s="258"/>
      <x:c r="F1" s="309"/>
      <x:c r="G1" s="258"/>
      <x:c r="H1" s="258"/>
    </x:row>
    <x:row r="2" ht="32" customHeight="1">
      <x:c r="A2" s="261"/>
      <x:c r="B2" s="261"/>
      <x:c r="C2" s="261"/>
      <x:c r="D2" s="261"/>
      <x:c r="E2" s="261"/>
      <x:c r="F2" s="310"/>
      <x:c r="G2" s="261"/>
      <x:c r="H2" s="261"/>
    </x:row>
    <x:row r="3" ht="24" customHeight="1">
      <x:c r="A3" s="321" t="str">
        <x:v>Source ID</x:v>
      </x:c>
      <x:c r="B3" s="321" t="str">
        <x:v>Publisher</x:v>
      </x:c>
      <x:c r="C3" s="321" t="str">
        <x:v>Title / publication</x:v>
      </x:c>
      <x:c r="D3" s="321" t="str">
        <x:v>Date</x:v>
      </x:c>
      <x:c r="E3" s="321" t="str">
        <x:v>Source type</x:v>
      </x:c>
      <x:c r="F3" s="321" t="str">
        <x:v>URL</x:v>
      </x:c>
      <x:c r="G3" s="321" t="str">
        <x:v>Claims / fields supported</x:v>
      </x:c>
      <x:c r="H3" s="321" t="str">
        <x:v>Notes</x:v>
      </x:c>
    </x:row>
    <x:row r="4">
      <x:c r="A4" s="299" t="str">
        <x:v>S01</x:v>
      </x:c>
      <x:c r="B4" s="299" t="str">
        <x:v>Gartner</x:v>
      </x:c>
      <x:c r="C4" s="299" t="str">
        <x:v>Hype Cycle for Emerging Technologies, 2026</x:v>
      </x:c>
      <x:c r="D4" s="299" t="str">
        <x:v>2026-07-23</x:v>
      </x:c>
      <x:c r="E4" s="299" t="str">
        <x:v>Primary</x:v>
      </x:c>
      <x:c r="F4" s="299" t="str">
        <x:v>https://www.gartner.com/en/documents/8163629</x:v>
      </x:c>
      <x:c r="G4" s="299" t="str">
        <x:v>Hype Cycle methodology; 30 technologies; expectations vs proven value; Plateau = mainstream</x:v>
      </x:c>
      <x:c r="H4" s="299" t="str">
        <x:v>Underlying 2016–2025 placements are separately reconstructed in the Gartner workbook tabs.</x:v>
      </x:c>
    </x:row>
    <x:row r="5">
      <x:c r="A5" s="299" t="str">
        <x:v>S02</x:v>
      </x:c>
      <x:c r="B5" s="299" t="str">
        <x:v>Forrester</x:v>
      </x:c>
      <x:c r="C5" s="299" t="str">
        <x:v>Top 10 Emerging Technologies for 2025</x:v>
      </x:c>
      <x:c r="D5" s="299" t="str">
        <x:v>2025-05-06</x:v>
      </x:c>
      <x:c r="E5" s="299" t="str">
        <x:v>Primary</x:v>
      </x:c>
      <x:c r="F5" s="299" t="str">
        <x:v>https://www.forrester.com/press-newsroom/forrester-top-10-emerging-technologies-2025/</x:v>
      </x:c>
      <x:c r="G5" s="299" t="str">
        <x:v>Benefit horizons; agentic AI as emerging technology</x:v>
      </x:c>
      <x:c r="H5" s="299" t="str">
        <x:v>Press release summarises short-, mid- and long-term benefit horizons.</x:v>
      </x:c>
    </x:row>
    <x:row r="6">
      <x:c r="A6" s="299" t="str">
        <x:v>S03</x:v>
      </x:c>
      <x:c r="B6" s="299" t="str">
        <x:v>Forrester</x:v>
      </x:c>
      <x:c r="C6" s="299" t="str">
        <x:v>Top 10 Emerging Technologies for 2025 — Preview</x:v>
      </x:c>
      <x:c r="D6" s="299" t="str">
        <x:v>2025</x:v>
      </x:c>
      <x:c r="E6" s="299" t="str">
        <x:v>Primary</x:v>
      </x:c>
      <x:c r="F6" s="299" t="str">
        <x:v>https://www.forrester.com/blogs/forresters-top-10-emerging-technologies-for-2025/</x:v>
      </x:c>
      <x:c r="G6" s="299" t="str">
        <x:v>Agentic AI lineage; synthetic data usage example</x:v>
      </x:c>
      <x:c r="H6" s="299" t="str">
        <x:v>Forrester notes intelligent agents (2020) → AI agents → agentic AI (2025).</x:v>
      </x:c>
    </x:row>
    <x:row r="7">
      <x:c r="A7" s="299" t="str">
        <x:v>S04</x:v>
      </x:c>
      <x:c r="B7" s="299" t="str">
        <x:v>McKinsey</x:v>
      </x:c>
      <x:c r="C7" s="299" t="str">
        <x:v>Technology Trends Outlook 2025</x:v>
      </x:c>
      <x:c r="D7" s="299" t="str">
        <x:v>2025</x:v>
      </x:c>
      <x:c r="E7" s="299" t="str">
        <x:v>Primary</x:v>
      </x:c>
      <x:c r="F7" s="299" t="str">
        <x:v>https://www.mckinsey.com/capabilities/tech-and-ai/our-insights/the-top-trends-in-tech/</x:v>
      </x:c>
      <x:c r="G7" s="299" t="str">
        <x:v>Six quantitative activity measures; adoption scale; agentic AI; label consolidation</x:v>
      </x:c>
      <x:c r="H7" s="299" t="str">
        <x:v>McKinsey explicitly replaced four prior AI trends with an overarching AI category and added agentic AI.</x:v>
      </x:c>
    </x:row>
    <x:row r="8">
      <x:c r="A8" s="299" t="str">
        <x:v>S05</x:v>
      </x:c>
      <x:c r="B8" s="299" t="str">
        <x:v>McKinsey</x:v>
      </x:c>
      <x:c r="C8" s="299" t="str">
        <x:v>The State of AI: Global Survey 2026</x:v>
      </x:c>
      <x:c r="D8" s="299" t="str">
        <x:v>2026</x:v>
      </x:c>
      <x:c r="E8" s="299" t="str">
        <x:v>Primary survey</x:v>
      </x:c>
      <x:c r="F8" s="299" t="str">
        <x:v>https://www.mckinsey.com/capabilities/quantumblack/our-insights/the-state-of-ai</x:v>
      </x:c>
      <x:c r="G8" s="299" t="str">
        <x:v>~9/10 use; 44% enterprise scaling; 37% EBIT impact; 6% high performers; 80% individual productivity benefit</x:v>
      </x:c>
      <x:c r="H8" s="299" t="str">
        <x:v>Core evidence for visibility/use/scale/value distinction.</x:v>
      </x:c>
    </x:row>
    <x:row r="9">
      <x:c r="A9" s="299" t="str">
        <x:v>S06</x:v>
      </x:c>
      <x:c r="B9" s="299" t="str">
        <x:v>World Economic Forum</x:v>
      </x:c>
      <x:c r="C9" s="299" t="str">
        <x:v>Top 10 Emerging Technologies of 2025</x:v>
      </x:c>
      <x:c r="D9" s="299" t="str">
        <x:v>2025-06-24</x:v>
      </x:c>
      <x:c r="E9" s="299" t="str">
        <x:v>Primary</x:v>
      </x:c>
      <x:c r="F9" s="299" t="str">
        <x:v>https://www.weforum.org/publications/top-10-emerging-technologies-of-2025/</x:v>
      </x:c>
      <x:c r="G9" s="299" t="str">
        <x:v>Scientific progress, strategic impact, ecosystem readiness; 3–5 year real-world impact</x:v>
      </x:c>
      <x:c r="H9" s="299" t="str">
        <x:v>Broader societal/industry scope than enterprise analyst research.</x:v>
      </x:c>
    </x:row>
    <x:row r="10">
      <x:c r="A10" s="299" t="str">
        <x:v>S07</x:v>
      </x:c>
      <x:c r="B10" s="299" t="str">
        <x:v>Deloitte</x:v>
      </x:c>
      <x:c r="C10" s="299" t="str">
        <x:v>Tech Trends 2025</x:v>
      </x:c>
      <x:c r="D10" s="299" t="str">
        <x:v>2025</x:v>
      </x:c>
      <x:c r="E10" s="299" t="str">
        <x:v>Primary</x:v>
      </x:c>
      <x:c r="F10" s="299" t="str">
        <x:v>https://www.deloitte.com/global/en/insights/topics/technology-management/tech-trends_new.html</x:v>
      </x:c>
      <x:c r="G10" s="299" t="str">
        <x:v>Enterprise technology trend framing; AI embeddedness; spatial computing; quantum/cyber themes</x:v>
      </x:c>
      <x:c r="H10" s="299" t="str">
        <x:v>Not a maturity or adoption-percentage framework.</x:v>
      </x:c>
    </x:row>
    <x:row r="11">
      <x:c r="A11" s="301" t="str">
        <x:v>S08</x:v>
      </x:c>
      <x:c r="B11" s="301" t="str">
        <x:v>IDC / HPCwire</x:v>
      </x:c>
      <x:c r="C11" s="301" t="str">
        <x:v>IDC FutureScape 2026 coverage</x:v>
      </x:c>
      <x:c r="D11" s="301" t="str">
        <x:v>2025/2026</x:v>
      </x:c>
      <x:c r="E11" s="301" t="str">
        <x:v>Secondary public coverage</x:v>
      </x:c>
      <x:c r="F11" s="301" t="str">
        <x:v>https://www.hpcwire.com/off-the-wire/idc-futurescape-2026-predictions-reveal-the-rise-of-agentic-ai-and-a-turning-point-in-enterprise-transformation/</x:v>
      </x:c>
      <x:c r="G11" s="301" t="str">
        <x:v>IDC FutureScape agentic-AI / enterprise-transformation prediction signal</x:v>
      </x:c>
      <x:c r="H11" s="301" t="str">
        <x:v>Use with an explicit 'secondary coverage' caveat unless an IDC client source is available.</x:v>
      </x:c>
    </x:row>
  </x:sheetData>
  <x:mergeCells>
    <x:mergeCell ref="A1:H1"/>
  </x:mergeCells>
  <x:pageMargins left="0.7" right="0.7" top="0.75" bottom="0.75" header="0.3" footer="0.3"/>
  <x:tableParts count="1">
    <x:tablePart xmlns:r="http://schemas.openxmlformats.org/officeDocument/2006/relationships" r:id="Rcd05354b18e14887"/>
  </x:tableParts>
</x:worksheet>
</file>